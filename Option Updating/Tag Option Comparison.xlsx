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G:\Colin Richardson\OPTION SALES PROBLEM\"/>
    </mc:Choice>
  </mc:AlternateContent>
  <xr:revisionPtr revIDLastSave="0" documentId="8_{C90CFEFB-072B-4F68-B96E-1B392D5C7A14}" xr6:coauthVersionLast="47" xr6:coauthVersionMax="47" xr10:uidLastSave="{00000000-0000-0000-0000-000000000000}"/>
  <bookViews>
    <workbookView xWindow="-28920" yWindow="-30" windowWidth="29040" windowHeight="15840" firstSheet="1" activeTab="1" xr2:uid="{00000000-000D-0000-FFFF-FFFF00000000}"/>
  </bookViews>
  <sheets>
    <sheet name="All of em" sheetId="5" r:id="rId1"/>
    <sheet name="All of em not gonna blow up 0,1" sheetId="7" r:id="rId2"/>
    <sheet name="All of em not gonna blow up" sheetId="6" r:id="rId3"/>
    <sheet name="ANR" sheetId="1" r:id="rId4"/>
    <sheet name="ART" sheetId="2" r:id="rId5"/>
    <sheet name="FDNT" sheetId="3" r:id="rId6"/>
    <sheet name="NTT" sheetId="4" r:id="rId7"/>
  </sheets>
  <definedNames>
    <definedName name="_xlnm._FilterDatabase" localSheetId="2" hidden="1">'All of em not gonna blow up'!$A$1:$M$78</definedName>
    <definedName name="_xlnm._FilterDatabase" localSheetId="1" hidden="1">'All of em not gonna blow up 0,1'!$A$1:$M$78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54" i="2" l="1"/>
  <c r="C55" i="2"/>
  <c r="C56" i="2"/>
  <c r="C57" i="2"/>
  <c r="E75" i="5"/>
  <c r="F75" i="5"/>
  <c r="G75" i="5"/>
  <c r="H75" i="5"/>
  <c r="I75" i="5"/>
  <c r="J75" i="5"/>
  <c r="K75" i="5"/>
  <c r="L75" i="5"/>
  <c r="M75" i="5"/>
  <c r="E76" i="5"/>
  <c r="F76" i="5"/>
  <c r="G76" i="5"/>
  <c r="H76" i="5"/>
  <c r="I76" i="5"/>
  <c r="J76" i="5"/>
  <c r="K76" i="5"/>
  <c r="L76" i="5"/>
  <c r="M76" i="5"/>
  <c r="E77" i="5"/>
  <c r="F77" i="5"/>
  <c r="G77" i="5"/>
  <c r="H77" i="5"/>
  <c r="I77" i="5"/>
  <c r="J77" i="5"/>
  <c r="K77" i="5"/>
  <c r="L77" i="5"/>
  <c r="M77" i="5"/>
  <c r="E78" i="5"/>
  <c r="F78" i="5"/>
  <c r="G78" i="5"/>
  <c r="H78" i="5"/>
  <c r="I78" i="5"/>
  <c r="J78" i="5"/>
  <c r="K78" i="5"/>
  <c r="L78" i="5"/>
  <c r="M78" i="5"/>
  <c r="E79" i="5"/>
  <c r="F79" i="5"/>
  <c r="G79" i="5"/>
  <c r="H79" i="5"/>
  <c r="I79" i="5"/>
  <c r="J79" i="5"/>
  <c r="K79" i="5"/>
  <c r="L79" i="5"/>
  <c r="M79" i="5"/>
  <c r="E80" i="5"/>
  <c r="F80" i="5"/>
  <c r="G80" i="5"/>
  <c r="H80" i="5"/>
  <c r="I80" i="5"/>
  <c r="J80" i="5"/>
  <c r="K80" i="5"/>
  <c r="L80" i="5"/>
  <c r="M80" i="5"/>
  <c r="E81" i="5"/>
  <c r="F81" i="5"/>
  <c r="G81" i="5"/>
  <c r="H81" i="5"/>
  <c r="I81" i="5"/>
  <c r="J81" i="5"/>
  <c r="K81" i="5"/>
  <c r="L81" i="5"/>
  <c r="M81" i="5"/>
  <c r="E82" i="5"/>
  <c r="F82" i="5"/>
  <c r="G82" i="5"/>
  <c r="H82" i="5"/>
  <c r="I82" i="5"/>
  <c r="J82" i="5"/>
  <c r="K82" i="5"/>
  <c r="L82" i="5"/>
  <c r="M82" i="5"/>
  <c r="E69" i="5"/>
  <c r="F69" i="5"/>
  <c r="G69" i="5"/>
  <c r="H69" i="5"/>
  <c r="I69" i="5"/>
  <c r="J69" i="5"/>
  <c r="K69" i="5"/>
  <c r="L69" i="5"/>
  <c r="M69" i="5"/>
  <c r="E70" i="5"/>
  <c r="F70" i="5"/>
  <c r="G70" i="5"/>
  <c r="H70" i="5"/>
  <c r="I70" i="5"/>
  <c r="J70" i="5"/>
  <c r="K70" i="5"/>
  <c r="L70" i="5"/>
  <c r="M70" i="5"/>
  <c r="E71" i="5"/>
  <c r="F71" i="5"/>
  <c r="G71" i="5"/>
  <c r="H71" i="5"/>
  <c r="I71" i="5"/>
  <c r="J71" i="5"/>
  <c r="K71" i="5"/>
  <c r="L71" i="5"/>
  <c r="M71" i="5"/>
  <c r="E72" i="5"/>
  <c r="F72" i="5"/>
  <c r="G72" i="5"/>
  <c r="H72" i="5"/>
  <c r="I72" i="5"/>
  <c r="J72" i="5"/>
  <c r="K72" i="5"/>
  <c r="L72" i="5"/>
  <c r="M72" i="5"/>
  <c r="E73" i="5"/>
  <c r="F73" i="5"/>
  <c r="G73" i="5"/>
  <c r="H73" i="5"/>
  <c r="I73" i="5"/>
  <c r="J73" i="5"/>
  <c r="K73" i="5"/>
  <c r="L73" i="5"/>
  <c r="M73" i="5"/>
  <c r="E74" i="5"/>
  <c r="F74" i="5"/>
  <c r="G74" i="5"/>
  <c r="H74" i="5"/>
  <c r="I74" i="5"/>
  <c r="J74" i="5"/>
  <c r="K74" i="5"/>
  <c r="L74" i="5"/>
  <c r="M74" i="5"/>
  <c r="E53" i="5"/>
  <c r="F53" i="5"/>
  <c r="G53" i="5"/>
  <c r="H53" i="5"/>
  <c r="I53" i="5"/>
  <c r="J53" i="5"/>
  <c r="K53" i="5"/>
  <c r="L53" i="5"/>
  <c r="M53" i="5"/>
  <c r="E54" i="5"/>
  <c r="F54" i="5"/>
  <c r="G54" i="5"/>
  <c r="H54" i="5"/>
  <c r="I54" i="5"/>
  <c r="J54" i="5"/>
  <c r="K54" i="5"/>
  <c r="L54" i="5"/>
  <c r="M54" i="5"/>
  <c r="E55" i="5"/>
  <c r="F55" i="5"/>
  <c r="G55" i="5"/>
  <c r="H55" i="5"/>
  <c r="I55" i="5"/>
  <c r="J55" i="5"/>
  <c r="K55" i="5"/>
  <c r="L55" i="5"/>
  <c r="M55" i="5"/>
  <c r="E56" i="5"/>
  <c r="F56" i="5"/>
  <c r="G56" i="5"/>
  <c r="H56" i="5"/>
  <c r="I56" i="5"/>
  <c r="J56" i="5"/>
  <c r="K56" i="5"/>
  <c r="L56" i="5"/>
  <c r="M56" i="5"/>
  <c r="E57" i="5"/>
  <c r="F57" i="5"/>
  <c r="G57" i="5"/>
  <c r="H57" i="5"/>
  <c r="I57" i="5"/>
  <c r="J57" i="5"/>
  <c r="K57" i="5"/>
  <c r="L57" i="5"/>
  <c r="M57" i="5"/>
  <c r="E58" i="5"/>
  <c r="F58" i="5"/>
  <c r="G58" i="5"/>
  <c r="H58" i="5"/>
  <c r="I58" i="5"/>
  <c r="J58" i="5"/>
  <c r="K58" i="5"/>
  <c r="L58" i="5"/>
  <c r="M58" i="5"/>
  <c r="E59" i="5"/>
  <c r="F59" i="5"/>
  <c r="G59" i="5"/>
  <c r="H59" i="5"/>
  <c r="I59" i="5"/>
  <c r="J59" i="5"/>
  <c r="K59" i="5"/>
  <c r="L59" i="5"/>
  <c r="M59" i="5"/>
  <c r="E60" i="5"/>
  <c r="F60" i="5"/>
  <c r="G60" i="5"/>
  <c r="H60" i="5"/>
  <c r="I60" i="5"/>
  <c r="J60" i="5"/>
  <c r="K60" i="5"/>
  <c r="L60" i="5"/>
  <c r="M60" i="5"/>
  <c r="E61" i="5"/>
  <c r="F61" i="5"/>
  <c r="G61" i="5"/>
  <c r="H61" i="5"/>
  <c r="I61" i="5"/>
  <c r="J61" i="5"/>
  <c r="K61" i="5"/>
  <c r="L61" i="5"/>
  <c r="M61" i="5"/>
  <c r="E62" i="5"/>
  <c r="F62" i="5"/>
  <c r="G62" i="5"/>
  <c r="H62" i="5"/>
  <c r="I62" i="5"/>
  <c r="J62" i="5"/>
  <c r="K62" i="5"/>
  <c r="L62" i="5"/>
  <c r="M62" i="5"/>
  <c r="E63" i="5"/>
  <c r="F63" i="5"/>
  <c r="G63" i="5"/>
  <c r="H63" i="5"/>
  <c r="I63" i="5"/>
  <c r="J63" i="5"/>
  <c r="K63" i="5"/>
  <c r="L63" i="5"/>
  <c r="M63" i="5"/>
  <c r="E64" i="5"/>
  <c r="F64" i="5"/>
  <c r="G64" i="5"/>
  <c r="H64" i="5"/>
  <c r="I64" i="5"/>
  <c r="J64" i="5"/>
  <c r="K64" i="5"/>
  <c r="L64" i="5"/>
  <c r="M64" i="5"/>
  <c r="E65" i="5"/>
  <c r="F65" i="5"/>
  <c r="G65" i="5"/>
  <c r="H65" i="5"/>
  <c r="I65" i="5"/>
  <c r="J65" i="5"/>
  <c r="K65" i="5"/>
  <c r="L65" i="5"/>
  <c r="M65" i="5"/>
  <c r="E66" i="5"/>
  <c r="F66" i="5"/>
  <c r="G66" i="5"/>
  <c r="H66" i="5"/>
  <c r="I66" i="5"/>
  <c r="J66" i="5"/>
  <c r="K66" i="5"/>
  <c r="L66" i="5"/>
  <c r="M66" i="5"/>
  <c r="E67" i="5"/>
  <c r="F67" i="5"/>
  <c r="G67" i="5"/>
  <c r="H67" i="5"/>
  <c r="I67" i="5"/>
  <c r="J67" i="5"/>
  <c r="K67" i="5"/>
  <c r="L67" i="5"/>
  <c r="M67" i="5"/>
  <c r="E68" i="5"/>
  <c r="F68" i="5"/>
  <c r="G68" i="5"/>
  <c r="H68" i="5"/>
  <c r="I68" i="5"/>
  <c r="J68" i="5"/>
  <c r="K68" i="5"/>
  <c r="L68" i="5"/>
  <c r="M68" i="5"/>
  <c r="K2" i="5"/>
  <c r="L2" i="5"/>
  <c r="M2" i="5"/>
  <c r="K3" i="5"/>
  <c r="L3" i="5"/>
  <c r="M3" i="5"/>
  <c r="K4" i="5"/>
  <c r="L4" i="5"/>
  <c r="M4" i="5"/>
  <c r="K5" i="5"/>
  <c r="L5" i="5"/>
  <c r="M5" i="5"/>
  <c r="K6" i="5"/>
  <c r="L6" i="5"/>
  <c r="M6" i="5"/>
  <c r="K7" i="5"/>
  <c r="L7" i="5"/>
  <c r="M7" i="5"/>
  <c r="K8" i="5"/>
  <c r="L8" i="5"/>
  <c r="M8" i="5"/>
  <c r="K9" i="5"/>
  <c r="L9" i="5"/>
  <c r="M9" i="5"/>
  <c r="K10" i="5"/>
  <c r="L10" i="5"/>
  <c r="M10" i="5"/>
  <c r="K11" i="5"/>
  <c r="L11" i="5"/>
  <c r="M11" i="5"/>
  <c r="K12" i="5"/>
  <c r="L12" i="5"/>
  <c r="M12" i="5"/>
  <c r="K13" i="5"/>
  <c r="L13" i="5"/>
  <c r="M13" i="5"/>
  <c r="K14" i="5"/>
  <c r="L14" i="5"/>
  <c r="M14" i="5"/>
  <c r="K15" i="5"/>
  <c r="L15" i="5"/>
  <c r="M15" i="5"/>
  <c r="K16" i="5"/>
  <c r="L16" i="5"/>
  <c r="M16" i="5"/>
  <c r="K17" i="5"/>
  <c r="L17" i="5"/>
  <c r="M17" i="5"/>
  <c r="K18" i="5"/>
  <c r="L18" i="5"/>
  <c r="M18" i="5"/>
  <c r="K19" i="5"/>
  <c r="L19" i="5"/>
  <c r="M19" i="5"/>
  <c r="K20" i="5"/>
  <c r="L20" i="5"/>
  <c r="M20" i="5"/>
  <c r="K21" i="5"/>
  <c r="L21" i="5"/>
  <c r="M21" i="5"/>
  <c r="K22" i="5"/>
  <c r="L22" i="5"/>
  <c r="M22" i="5"/>
  <c r="K23" i="5"/>
  <c r="L23" i="5"/>
  <c r="M23" i="5"/>
  <c r="K24" i="5"/>
  <c r="L24" i="5"/>
  <c r="M24" i="5"/>
  <c r="K25" i="5"/>
  <c r="L25" i="5"/>
  <c r="M25" i="5"/>
  <c r="K26" i="5"/>
  <c r="L26" i="5"/>
  <c r="M26" i="5"/>
  <c r="K27" i="5"/>
  <c r="L27" i="5"/>
  <c r="M27" i="5"/>
  <c r="K28" i="5"/>
  <c r="L28" i="5"/>
  <c r="M28" i="5"/>
  <c r="K29" i="5"/>
  <c r="L29" i="5"/>
  <c r="M29" i="5"/>
  <c r="K30" i="5"/>
  <c r="L30" i="5"/>
  <c r="M30" i="5"/>
  <c r="K31" i="5"/>
  <c r="L31" i="5"/>
  <c r="M31" i="5"/>
  <c r="K32" i="5"/>
  <c r="L32" i="5"/>
  <c r="M32" i="5"/>
  <c r="K33" i="5"/>
  <c r="L33" i="5"/>
  <c r="M33" i="5"/>
  <c r="K34" i="5"/>
  <c r="L34" i="5"/>
  <c r="M34" i="5"/>
  <c r="K35" i="5"/>
  <c r="L35" i="5"/>
  <c r="M35" i="5"/>
  <c r="K36" i="5"/>
  <c r="L36" i="5"/>
  <c r="M36" i="5"/>
  <c r="K37" i="5"/>
  <c r="L37" i="5"/>
  <c r="M37" i="5"/>
  <c r="K38" i="5"/>
  <c r="L38" i="5"/>
  <c r="M38" i="5"/>
  <c r="K39" i="5"/>
  <c r="L39" i="5"/>
  <c r="M39" i="5"/>
  <c r="K40" i="5"/>
  <c r="L40" i="5"/>
  <c r="M40" i="5"/>
  <c r="K41" i="5"/>
  <c r="L41" i="5"/>
  <c r="M41" i="5"/>
  <c r="K42" i="5"/>
  <c r="L42" i="5"/>
  <c r="M42" i="5"/>
  <c r="K43" i="5"/>
  <c r="L43" i="5"/>
  <c r="M43" i="5"/>
  <c r="K44" i="5"/>
  <c r="L44" i="5"/>
  <c r="M44" i="5"/>
  <c r="K45" i="5"/>
  <c r="L45" i="5"/>
  <c r="M45" i="5"/>
  <c r="K46" i="5"/>
  <c r="L46" i="5"/>
  <c r="M46" i="5"/>
  <c r="K47" i="5"/>
  <c r="L47" i="5"/>
  <c r="M47" i="5"/>
  <c r="K48" i="5"/>
  <c r="L48" i="5"/>
  <c r="M48" i="5"/>
  <c r="K49" i="5"/>
  <c r="L49" i="5"/>
  <c r="M49" i="5"/>
  <c r="K50" i="5"/>
  <c r="L50" i="5"/>
  <c r="M50" i="5"/>
  <c r="K51" i="5"/>
  <c r="L51" i="5"/>
  <c r="M51" i="5"/>
  <c r="K52" i="5"/>
  <c r="L52" i="5"/>
  <c r="M52" i="5"/>
  <c r="M1" i="5"/>
  <c r="L1" i="5"/>
  <c r="K1" i="5"/>
  <c r="I1" i="5"/>
  <c r="J1" i="5"/>
  <c r="H2" i="5"/>
  <c r="I2" i="5"/>
  <c r="J2" i="5"/>
  <c r="H3" i="5"/>
  <c r="I3" i="5"/>
  <c r="J3" i="5"/>
  <c r="H4" i="5"/>
  <c r="I4" i="5"/>
  <c r="J4" i="5"/>
  <c r="H5" i="5"/>
  <c r="I5" i="5"/>
  <c r="J5" i="5"/>
  <c r="H6" i="5"/>
  <c r="I6" i="5"/>
  <c r="J6" i="5"/>
  <c r="H7" i="5"/>
  <c r="I7" i="5"/>
  <c r="J7" i="5"/>
  <c r="H8" i="5"/>
  <c r="I8" i="5"/>
  <c r="J8" i="5"/>
  <c r="H9" i="5"/>
  <c r="I9" i="5"/>
  <c r="J9" i="5"/>
  <c r="H10" i="5"/>
  <c r="I10" i="5"/>
  <c r="J10" i="5"/>
  <c r="H11" i="5"/>
  <c r="I11" i="5"/>
  <c r="J11" i="5"/>
  <c r="H12" i="5"/>
  <c r="I12" i="5"/>
  <c r="J12" i="5"/>
  <c r="H13" i="5"/>
  <c r="I13" i="5"/>
  <c r="J13" i="5"/>
  <c r="H14" i="5"/>
  <c r="I14" i="5"/>
  <c r="J14" i="5"/>
  <c r="H15" i="5"/>
  <c r="I15" i="5"/>
  <c r="J15" i="5"/>
  <c r="H16" i="5"/>
  <c r="I16" i="5"/>
  <c r="J16" i="5"/>
  <c r="H17" i="5"/>
  <c r="I17" i="5"/>
  <c r="J17" i="5"/>
  <c r="H18" i="5"/>
  <c r="I18" i="5"/>
  <c r="J18" i="5"/>
  <c r="H19" i="5"/>
  <c r="I19" i="5"/>
  <c r="J19" i="5"/>
  <c r="H20" i="5"/>
  <c r="I20" i="5"/>
  <c r="J20" i="5"/>
  <c r="H21" i="5"/>
  <c r="I21" i="5"/>
  <c r="J21" i="5"/>
  <c r="H22" i="5"/>
  <c r="I22" i="5"/>
  <c r="J22" i="5"/>
  <c r="H23" i="5"/>
  <c r="I23" i="5"/>
  <c r="J23" i="5"/>
  <c r="H24" i="5"/>
  <c r="I24" i="5"/>
  <c r="J24" i="5"/>
  <c r="H25" i="5"/>
  <c r="I25" i="5"/>
  <c r="J25" i="5"/>
  <c r="H26" i="5"/>
  <c r="I26" i="5"/>
  <c r="J26" i="5"/>
  <c r="H27" i="5"/>
  <c r="I27" i="5"/>
  <c r="J27" i="5"/>
  <c r="H28" i="5"/>
  <c r="I28" i="5"/>
  <c r="J28" i="5"/>
  <c r="H29" i="5"/>
  <c r="I29" i="5"/>
  <c r="J29" i="5"/>
  <c r="H30" i="5"/>
  <c r="I30" i="5"/>
  <c r="J30" i="5"/>
  <c r="H31" i="5"/>
  <c r="I31" i="5"/>
  <c r="J31" i="5"/>
  <c r="H32" i="5"/>
  <c r="I32" i="5"/>
  <c r="J32" i="5"/>
  <c r="H33" i="5"/>
  <c r="I33" i="5"/>
  <c r="J33" i="5"/>
  <c r="H34" i="5"/>
  <c r="I34" i="5"/>
  <c r="J34" i="5"/>
  <c r="H35" i="5"/>
  <c r="I35" i="5"/>
  <c r="J35" i="5"/>
  <c r="H36" i="5"/>
  <c r="I36" i="5"/>
  <c r="J36" i="5"/>
  <c r="H37" i="5"/>
  <c r="I37" i="5"/>
  <c r="J37" i="5"/>
  <c r="H38" i="5"/>
  <c r="I38" i="5"/>
  <c r="J38" i="5"/>
  <c r="H39" i="5"/>
  <c r="I39" i="5"/>
  <c r="J39" i="5"/>
  <c r="H40" i="5"/>
  <c r="I40" i="5"/>
  <c r="J40" i="5"/>
  <c r="H41" i="5"/>
  <c r="I41" i="5"/>
  <c r="J41" i="5"/>
  <c r="H42" i="5"/>
  <c r="I42" i="5"/>
  <c r="J42" i="5"/>
  <c r="H43" i="5"/>
  <c r="I43" i="5"/>
  <c r="J43" i="5"/>
  <c r="H44" i="5"/>
  <c r="I44" i="5"/>
  <c r="J44" i="5"/>
  <c r="H45" i="5"/>
  <c r="I45" i="5"/>
  <c r="J45" i="5"/>
  <c r="H46" i="5"/>
  <c r="I46" i="5"/>
  <c r="J46" i="5"/>
  <c r="H47" i="5"/>
  <c r="I47" i="5"/>
  <c r="J47" i="5"/>
  <c r="H48" i="5"/>
  <c r="I48" i="5"/>
  <c r="J48" i="5"/>
  <c r="H49" i="5"/>
  <c r="I49" i="5"/>
  <c r="J49" i="5"/>
  <c r="H50" i="5"/>
  <c r="I50" i="5"/>
  <c r="J50" i="5"/>
  <c r="H51" i="5"/>
  <c r="I51" i="5"/>
  <c r="J51" i="5"/>
  <c r="H52" i="5"/>
  <c r="I52" i="5"/>
  <c r="J52" i="5"/>
  <c r="H1" i="5"/>
  <c r="F2" i="5"/>
  <c r="G2" i="5"/>
  <c r="F3" i="5"/>
  <c r="G3" i="5"/>
  <c r="F4" i="5"/>
  <c r="G4" i="5"/>
  <c r="F5" i="5"/>
  <c r="G5" i="5"/>
  <c r="F6" i="5"/>
  <c r="G6" i="5"/>
  <c r="F7" i="5"/>
  <c r="G7" i="5"/>
  <c r="F8" i="5"/>
  <c r="G8" i="5"/>
  <c r="F9" i="5"/>
  <c r="G9" i="5"/>
  <c r="F10" i="5"/>
  <c r="G10" i="5"/>
  <c r="F11" i="5"/>
  <c r="G11" i="5"/>
  <c r="F12" i="5"/>
  <c r="G12" i="5"/>
  <c r="F13" i="5"/>
  <c r="G13" i="5"/>
  <c r="F14" i="5"/>
  <c r="G14" i="5"/>
  <c r="F15" i="5"/>
  <c r="G15" i="5"/>
  <c r="F16" i="5"/>
  <c r="G16" i="5"/>
  <c r="F17" i="5"/>
  <c r="G17" i="5"/>
  <c r="F18" i="5"/>
  <c r="G18" i="5"/>
  <c r="F19" i="5"/>
  <c r="G19" i="5"/>
  <c r="F20" i="5"/>
  <c r="G20" i="5"/>
  <c r="F21" i="5"/>
  <c r="G21" i="5"/>
  <c r="F22" i="5"/>
  <c r="G22" i="5"/>
  <c r="F23" i="5"/>
  <c r="G23" i="5"/>
  <c r="F24" i="5"/>
  <c r="G24" i="5"/>
  <c r="F25" i="5"/>
  <c r="G25" i="5"/>
  <c r="F26" i="5"/>
  <c r="G26" i="5"/>
  <c r="F27" i="5"/>
  <c r="G27" i="5"/>
  <c r="F28" i="5"/>
  <c r="G28" i="5"/>
  <c r="F29" i="5"/>
  <c r="G29" i="5"/>
  <c r="F30" i="5"/>
  <c r="G30" i="5"/>
  <c r="F31" i="5"/>
  <c r="G31" i="5"/>
  <c r="F32" i="5"/>
  <c r="G32" i="5"/>
  <c r="F33" i="5"/>
  <c r="G33" i="5"/>
  <c r="F34" i="5"/>
  <c r="G34" i="5"/>
  <c r="F35" i="5"/>
  <c r="G35" i="5"/>
  <c r="F36" i="5"/>
  <c r="G36" i="5"/>
  <c r="F37" i="5"/>
  <c r="G37" i="5"/>
  <c r="F38" i="5"/>
  <c r="G38" i="5"/>
  <c r="F39" i="5"/>
  <c r="G39" i="5"/>
  <c r="F40" i="5"/>
  <c r="G40" i="5"/>
  <c r="F41" i="5"/>
  <c r="G41" i="5"/>
  <c r="F42" i="5"/>
  <c r="G42" i="5"/>
  <c r="F43" i="5"/>
  <c r="G43" i="5"/>
  <c r="F44" i="5"/>
  <c r="G44" i="5"/>
  <c r="F45" i="5"/>
  <c r="G45" i="5"/>
  <c r="F46" i="5"/>
  <c r="G46" i="5"/>
  <c r="F47" i="5"/>
  <c r="G47" i="5"/>
  <c r="F48" i="5"/>
  <c r="G48" i="5"/>
  <c r="F49" i="5"/>
  <c r="G49" i="5"/>
  <c r="F50" i="5"/>
  <c r="G50" i="5"/>
  <c r="F51" i="5"/>
  <c r="G51" i="5"/>
  <c r="F52" i="5"/>
  <c r="G52" i="5"/>
  <c r="G1" i="5"/>
  <c r="F1" i="5"/>
  <c r="E2" i="5"/>
  <c r="E3" i="5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36" i="5"/>
  <c r="E37" i="5"/>
  <c r="E38" i="5"/>
  <c r="E39" i="5"/>
  <c r="E40" i="5"/>
  <c r="E41" i="5"/>
  <c r="E42" i="5"/>
  <c r="E43" i="5"/>
  <c r="E44" i="5"/>
  <c r="E45" i="5"/>
  <c r="E46" i="5"/>
  <c r="E47" i="5"/>
  <c r="E48" i="5"/>
  <c r="E49" i="5"/>
  <c r="E50" i="5"/>
  <c r="E51" i="5"/>
  <c r="E52" i="5"/>
  <c r="E1" i="5"/>
  <c r="D57" i="2"/>
  <c r="D56" i="2"/>
  <c r="D55" i="2"/>
  <c r="D54" i="2"/>
  <c r="D53" i="2"/>
  <c r="C53" i="2"/>
  <c r="D52" i="2"/>
  <c r="C52" i="2"/>
  <c r="D51" i="2"/>
  <c r="C51" i="2"/>
  <c r="D50" i="2"/>
  <c r="C50" i="2"/>
  <c r="D49" i="2"/>
  <c r="C49" i="2"/>
  <c r="D48" i="2"/>
  <c r="C48" i="2"/>
  <c r="D47" i="2"/>
  <c r="C47" i="2"/>
  <c r="D46" i="2"/>
  <c r="C46" i="2"/>
  <c r="D45" i="2"/>
  <c r="C45" i="2"/>
  <c r="D44" i="2"/>
  <c r="C44" i="2"/>
  <c r="D43" i="2"/>
  <c r="C43" i="2"/>
  <c r="D42" i="2"/>
  <c r="C42" i="2"/>
  <c r="D41" i="2"/>
  <c r="C41" i="2"/>
  <c r="D40" i="2"/>
  <c r="C40" i="2"/>
  <c r="D39" i="2"/>
  <c r="C39" i="2"/>
  <c r="D38" i="2"/>
  <c r="C38" i="2"/>
  <c r="D37" i="2"/>
  <c r="C37" i="2"/>
  <c r="D36" i="2"/>
  <c r="C36" i="2"/>
  <c r="D35" i="2"/>
  <c r="C35" i="2"/>
  <c r="D34" i="2"/>
  <c r="C34" i="2"/>
  <c r="D33" i="2"/>
  <c r="C33" i="2"/>
  <c r="D32" i="2"/>
  <c r="C32" i="2"/>
  <c r="D31" i="2"/>
  <c r="C31" i="2"/>
  <c r="D30" i="2"/>
  <c r="C30" i="2"/>
  <c r="D29" i="2"/>
  <c r="C29" i="2"/>
  <c r="D28" i="2"/>
  <c r="C28" i="2"/>
  <c r="D27" i="2"/>
  <c r="C27" i="2"/>
  <c r="D26" i="2"/>
  <c r="C26" i="2"/>
  <c r="D25" i="2"/>
  <c r="C25" i="2"/>
  <c r="D24" i="2"/>
  <c r="C24" i="2"/>
  <c r="D23" i="2"/>
  <c r="C23" i="2"/>
  <c r="D22" i="2"/>
  <c r="C22" i="2"/>
  <c r="D21" i="2"/>
  <c r="C21" i="2"/>
  <c r="D20" i="2"/>
  <c r="C20" i="2"/>
  <c r="D19" i="2"/>
  <c r="C19" i="2"/>
  <c r="D18" i="2"/>
  <c r="C18" i="2"/>
  <c r="D17" i="2"/>
  <c r="C17" i="2"/>
  <c r="D16" i="2"/>
  <c r="C16" i="2"/>
  <c r="D15" i="2"/>
  <c r="C15" i="2"/>
  <c r="D14" i="2"/>
  <c r="C14" i="2"/>
  <c r="D13" i="2"/>
  <c r="C13" i="2"/>
  <c r="D12" i="2"/>
  <c r="C12" i="2"/>
  <c r="D11" i="2"/>
  <c r="C11" i="2"/>
  <c r="D10" i="2"/>
  <c r="C10" i="2"/>
  <c r="D9" i="2"/>
  <c r="C9" i="2"/>
  <c r="D8" i="2"/>
  <c r="C8" i="2"/>
  <c r="D7" i="2"/>
  <c r="C7" i="2"/>
  <c r="D6" i="2"/>
  <c r="C6" i="2"/>
  <c r="D5" i="2"/>
  <c r="C5" i="2"/>
  <c r="D4" i="2"/>
  <c r="C4" i="2"/>
  <c r="C46" i="4"/>
  <c r="D46" i="4"/>
  <c r="C47" i="4"/>
  <c r="D47" i="4"/>
  <c r="C48" i="4"/>
  <c r="D48" i="4"/>
  <c r="C49" i="4"/>
  <c r="D49" i="4"/>
  <c r="C33" i="4"/>
  <c r="D33" i="4"/>
  <c r="C34" i="4"/>
  <c r="D34" i="4"/>
  <c r="C35" i="4"/>
  <c r="D35" i="4"/>
  <c r="C36" i="4"/>
  <c r="D36" i="4"/>
  <c r="C37" i="4"/>
  <c r="D37" i="4"/>
  <c r="C38" i="4"/>
  <c r="D38" i="4"/>
  <c r="C39" i="4"/>
  <c r="D39" i="4"/>
  <c r="C40" i="4"/>
  <c r="D40" i="4"/>
  <c r="C41" i="4"/>
  <c r="D41" i="4"/>
  <c r="C42" i="4"/>
  <c r="D42" i="4"/>
  <c r="C43" i="4"/>
  <c r="D43" i="4"/>
  <c r="C44" i="4"/>
  <c r="D44" i="4"/>
  <c r="C45" i="4"/>
  <c r="D45" i="4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2" i="4"/>
  <c r="C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2" i="4"/>
  <c r="D40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2" i="3"/>
  <c r="C29" i="3"/>
  <c r="C30" i="3"/>
  <c r="C31" i="3"/>
  <c r="C32" i="3"/>
  <c r="C33" i="3"/>
  <c r="C34" i="3"/>
  <c r="C35" i="3"/>
  <c r="C36" i="3"/>
  <c r="C37" i="3"/>
  <c r="C38" i="3"/>
  <c r="C39" i="3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" i="3"/>
  <c r="D3" i="2"/>
  <c r="D2" i="2"/>
  <c r="C3" i="2"/>
  <c r="C2" i="2"/>
</calcChain>
</file>

<file path=xl/sharedStrings.xml><?xml version="1.0" encoding="utf-8"?>
<sst xmlns="http://schemas.openxmlformats.org/spreadsheetml/2006/main" count="1060" uniqueCount="169">
  <si>
    <t>20ANR</t>
  </si>
  <si>
    <t>25ANR</t>
  </si>
  <si>
    <t>30ANR</t>
  </si>
  <si>
    <t>20ART</t>
  </si>
  <si>
    <t>25ART</t>
  </si>
  <si>
    <t>30ART</t>
  </si>
  <si>
    <t>20FDNT</t>
  </si>
  <si>
    <t>25FDNT</t>
  </si>
  <si>
    <t>30FDNT</t>
  </si>
  <si>
    <t>20NTT</t>
  </si>
  <si>
    <t>25NTT</t>
  </si>
  <si>
    <t>30NTT</t>
  </si>
  <si>
    <t>Options</t>
  </si>
  <si>
    <t>Description</t>
  </si>
  <si>
    <t>1 ft. Bolt On A-Frame Extension</t>
  </si>
  <si>
    <t>4 BAG A-FRAME</t>
  </si>
  <si>
    <t>Additional Mudflaps with Brackets (pair)</t>
  </si>
  <si>
    <t>Dual Holland Mark V 2 Speed Landing Gear</t>
  </si>
  <si>
    <t>Mudflaps located in front of lead axle in the center</t>
  </si>
  <si>
    <t>Remove mud flaps, set up for flaps only – customer will install their own.</t>
  </si>
  <si>
    <t>Tire Carrier Only (A Frame Top Mount)</t>
  </si>
  <si>
    <t>* 1 ft. Additional Main Deck (up to 4 extra Feet)</t>
  </si>
  <si>
    <t>1 3/8 in. x 7 in. Keruing Shiplapped</t>
  </si>
  <si>
    <t>Swingout Outriggers (5 per side)</t>
  </si>
  <si>
    <t>Amber Flashing Strobe Lights(Mounted in Bumper)</t>
  </si>
  <si>
    <t>Four Pin Plug w/Strobe Light Pocket at Rear</t>
  </si>
  <si>
    <t>Add 3/8 in. flatbar under deck approx 6 in. from siderail, passenger side</t>
  </si>
  <si>
    <t>Extra, Side Mount D-Rings (pair)</t>
  </si>
  <si>
    <t>J-Hooks</t>
  </si>
  <si>
    <t>Straps (3 in. x 30 ft. with Chain and Hook)(each)</t>
  </si>
  <si>
    <t>Winch Track</t>
  </si>
  <si>
    <t>Winches - Sliding  #5820 (hooks not included)(EACH)</t>
  </si>
  <si>
    <t>Winches - Sliding - 3 Bar #14011NP (hooks not included)(EACH)</t>
  </si>
  <si>
    <t>Winches (3 Bar Weld On) #48101-143 Undermount (hooks not included) BWS #24078</t>
  </si>
  <si>
    <t>BWS Red - PPG#370-75034</t>
  </si>
  <si>
    <t>BWS Yellow - PPG#920612</t>
  </si>
  <si>
    <t>Galvanizing Unit</t>
  </si>
  <si>
    <t>Zinc Primer</t>
  </si>
  <si>
    <t>Air Ride Suspension (includes air gauge and dump valve)</t>
  </si>
  <si>
    <t>Alum. Wheel Pkg. 17.5  (4 steel, 4 polished)</t>
  </si>
  <si>
    <t>Alum. Wheel Pkg. 17.5  (8 polished)</t>
  </si>
  <si>
    <t>Tire Upgrade to 235/75R17.5 Continental HTL2 EP</t>
  </si>
  <si>
    <t>Tire Upgrade to 245/70R17.5 Continental HTL2 ECO</t>
  </si>
  <si>
    <t>* 114 in. width excluding load securement devices (over width permits may be required)</t>
  </si>
  <si>
    <t>* 7 ft. Beavertail wood filled (Deck will be 23 ft. in lieu of 24 ft.)</t>
  </si>
  <si>
    <t>Swingout Outriggers (6 per side)</t>
  </si>
  <si>
    <t>Add 3/8 in. flatbar full length under deck approx 6 in. from siderail, passenger side</t>
  </si>
  <si>
    <t>* Air Lift c/w  Control Box, 2 Spring Susp., 1 Air Susp.</t>
  </si>
  <si>
    <t>* Air Lift c/w  Control Box, all Air Susp., Dump Valve and Air Gauge</t>
  </si>
  <si>
    <t>* Air Ride Suspension (includes air gauge and dump valve)</t>
  </si>
  <si>
    <t>* Axle Spacing 61 in.</t>
  </si>
  <si>
    <t>* Tilt Deck Package (4 Air Bags)</t>
  </si>
  <si>
    <t>Alum. Wheel Pkg. 17.5  (12 polished)</t>
  </si>
  <si>
    <t>Alum. Wheel Pkg. 17.5  (6 steel, 6 polished)</t>
  </si>
  <si>
    <t>Tire upgrade to 245/70R17.5 Continental HTL2 ECO</t>
  </si>
  <si>
    <t>Flag Holders (set of 4)</t>
  </si>
  <si>
    <t>Load Securement G-Hooks for under mount installation</t>
  </si>
  <si>
    <t>Pierquip Mudflaps</t>
  </si>
  <si>
    <t>S &amp; S Mudflaps</t>
  </si>
  <si>
    <t>Custom Color - Price Quote Required</t>
  </si>
  <si>
    <t>22.5 tire upgrade and heavy duty fenders - NO traction bars</t>
  </si>
  <si>
    <t>22.5 tire upgrade and heavy duty fenders - WITH traction bars</t>
  </si>
  <si>
    <t>Air Lift c/w  Control Box, 2 Spring Susp., 1 Air Susp.</t>
  </si>
  <si>
    <t>Air Lift c/w  Control Box, all Air Susp., Dump Valve and Air Gauge</t>
  </si>
  <si>
    <t>Heavy duty fenders - NO traction bars</t>
  </si>
  <si>
    <t>Heavy duty fenders - WITH traction bars</t>
  </si>
  <si>
    <t>Power lift axle from blue wire.</t>
  </si>
  <si>
    <t>Amber Flashing Strobe Lights(Mounted in Ramps)</t>
  </si>
  <si>
    <t>LED City Light Package (Mounted in Planked Ramps)</t>
  </si>
  <si>
    <t>LED City Light Package (Mounted in Self Cleaning Ramps)</t>
  </si>
  <si>
    <t>Winches (3 Bar Weld On) #48101-143  Undermount (hooks not included) BWS #24078</t>
  </si>
  <si>
    <t>* 38 in. x 76 in. Air Operated Self Cleaning</t>
  </si>
  <si>
    <t>* 45 in. x 76 in. Air Operated Planked</t>
  </si>
  <si>
    <t>* 45 in. x 96 in. Bi Fold Air Operated Planked (Spring Susp)</t>
  </si>
  <si>
    <t>Tire Upgrade to 235/75R 17.5 Continental HTL2 EP</t>
  </si>
  <si>
    <t>* 108 in. Width excluding load securement devices (over width permits may be required)</t>
  </si>
  <si>
    <t>Remove Air Assist Tilt Deck Pkg.</t>
  </si>
  <si>
    <t>* 45 in. x 96 in. Air Operated Planked</t>
  </si>
  <si>
    <t>* 45 x 96 Bifold Ramps Planked c/w 1 Lift Axle, 2 Spring Susp., 1 Air Susp.</t>
  </si>
  <si>
    <t>* 45 x 96 Bifold Ramps Planked c/w 1 Lift Axle, All Air Susp.</t>
  </si>
  <si>
    <t>* 45 x 96 Bifold Ramps Planked c/w 3 Air Susp., No Lift Axle</t>
  </si>
  <si>
    <t>6 ft. Self Cleaning Beavertail</t>
  </si>
  <si>
    <t>Alum. Wheel Pkg. 22.5 (12 Polished)</t>
  </si>
  <si>
    <t>Rub Rail and Stake Pockets - 24 in. OC</t>
  </si>
  <si>
    <t>* 1 ft. Additional Main Deck</t>
  </si>
  <si>
    <t>* Install Headboard Pockets</t>
  </si>
  <si>
    <t>Alum. Wheel Pkg. 17.5  (4 machined, 4 polished)</t>
  </si>
  <si>
    <t>Rub Rail and Stake Pockets - 24 in. OC (Outside nominal width)</t>
  </si>
  <si>
    <t>Alum. Wheel Pkg. 22.5  (6 Machined, 6 polished)</t>
  </si>
  <si>
    <t>* Self Cleaning Beavertail</t>
  </si>
  <si>
    <t>6 ft. Planked Beavertail</t>
  </si>
  <si>
    <t>Winches (3 Bar Weld On) #148101-143 Undermount (hooks not included) BWS #24078</t>
  </si>
  <si>
    <t>* 38 in. x 76 in. Self Cleaning Air Operated Ramp</t>
  </si>
  <si>
    <t>* 38 in. x 76 in. Wood Filled Air Operated Ramp</t>
  </si>
  <si>
    <t>20 in. x 48 in. Spring assist, self cleaning, adjustable total width 99 in. max./ 68 in. min.</t>
  </si>
  <si>
    <t>20 in. x 50 in. Lay Level Spring Assists, Self Cleaning, adjustable total width 99 in. max. / 68 in. min.</t>
  </si>
  <si>
    <t>20 in. x 50 in. Lay Level Spring Assist, Self Cleaning, adjustable total width 99 in. max. / 68 in.min</t>
  </si>
  <si>
    <t>Alum. Wheel Pkg. 22.5  (6 machined, 6 polished)</t>
  </si>
  <si>
    <t>Alum. Wheel Pkg. 22.5  (6 steel, 6 polished)</t>
  </si>
  <si>
    <t>Available option</t>
  </si>
  <si>
    <t>Price Check</t>
  </si>
  <si>
    <t>x</t>
  </si>
  <si>
    <t>Kill</t>
  </si>
  <si>
    <t xml:space="preserve">6 ft. Beavertail </t>
  </si>
  <si>
    <t>Insert New Option</t>
  </si>
  <si>
    <t>Rub Rail and Stake Pockets - 48 in. OC (Outside nominal width)</t>
  </si>
  <si>
    <t>Winches (3 Bar Weld On) #148101-143 Undermount (hooks not included)</t>
  </si>
  <si>
    <t>Change  Description</t>
  </si>
  <si>
    <t>20ANR-00046</t>
  </si>
  <si>
    <t>20ANR-00001</t>
  </si>
  <si>
    <t>20ANR-00047</t>
  </si>
  <si>
    <t>20ANR-00048</t>
  </si>
  <si>
    <t>20ANR-00049</t>
  </si>
  <si>
    <t>20ANR-00050</t>
  </si>
  <si>
    <t>20ANR-00023</t>
  </si>
  <si>
    <t>20ANR-00020</t>
  </si>
  <si>
    <t>20ANR-00051</t>
  </si>
  <si>
    <t>20ANR-00044</t>
  </si>
  <si>
    <t>20ANR-00021</t>
  </si>
  <si>
    <t>20ANR-00004</t>
  </si>
  <si>
    <t>20ANR-00003</t>
  </si>
  <si>
    <t>20ANR-00026</t>
  </si>
  <si>
    <t>20ANR-00016</t>
  </si>
  <si>
    <t>20ANR-00015</t>
  </si>
  <si>
    <t>20ANR-00008</t>
  </si>
  <si>
    <t>20ANR-00013</t>
  </si>
  <si>
    <t>20ANR-00052</t>
  </si>
  <si>
    <t>20ANR-00014</t>
  </si>
  <si>
    <t>20ANR-00037</t>
  </si>
  <si>
    <t>20ANR-00033</t>
  </si>
  <si>
    <t>20ANR-00039</t>
  </si>
  <si>
    <t>20ANR-00054</t>
  </si>
  <si>
    <t>20ANR-00053</t>
  </si>
  <si>
    <t>20ANR-00012</t>
  </si>
  <si>
    <t>20ANR-00022</t>
  </si>
  <si>
    <t>20ANR-00019</t>
  </si>
  <si>
    <t>20ANR-00009</t>
  </si>
  <si>
    <t>20ANR-00010</t>
  </si>
  <si>
    <t>20ANR-00011</t>
  </si>
  <si>
    <t>20ANR-00032</t>
  </si>
  <si>
    <t>20ANR-00038</t>
  </si>
  <si>
    <t>30NTT-00018</t>
  </si>
  <si>
    <t>30NTT-00019</t>
  </si>
  <si>
    <t>30ART-00020</t>
  </si>
  <si>
    <t>30ART-00048</t>
  </si>
  <si>
    <t>30ART-00022</t>
  </si>
  <si>
    <t>30ART-00037</t>
  </si>
  <si>
    <t>30ART-00038</t>
  </si>
  <si>
    <t>30ART-00039</t>
  </si>
  <si>
    <t>30NTT-00011</t>
  </si>
  <si>
    <t>30NTT-00030</t>
  </si>
  <si>
    <t>30NTT-00003</t>
  </si>
  <si>
    <t>THE GOOD OPTION</t>
  </si>
  <si>
    <t>30NTT-00035</t>
  </si>
  <si>
    <t>30NTT-00039</t>
  </si>
  <si>
    <t>30NTT-00054</t>
  </si>
  <si>
    <t>30NTT-00004</t>
  </si>
  <si>
    <t>30NTT-00005</t>
  </si>
  <si>
    <t>30NTT-00034</t>
  </si>
  <si>
    <t>30NTT-00033</t>
  </si>
  <si>
    <t>25ART-00049</t>
  </si>
  <si>
    <t>25ART-00003</t>
  </si>
  <si>
    <t>25ART-00032</t>
  </si>
  <si>
    <t>20FDNT-00026</t>
  </si>
  <si>
    <t>20FDNT-00003</t>
  </si>
  <si>
    <t>Replace White Steel Rims With Black Steel Rims</t>
  </si>
  <si>
    <t>Double L Aluminum Winch Track</t>
  </si>
  <si>
    <t>53ET3X-00098</t>
  </si>
  <si>
    <t>53ET3X-00099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</si>
</sst>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;[Red]\-&quot;$&quot;#,##0.00"/>
  </numFmts>
  <fonts count="7" x14ac:knownFonts="1">
    <font>
      <sz val="11"/>
      <color theme="1"/>
      <name val="Calibri"/>
      <family val="2"/>
      <scheme val="minor"/>
    </font>
    <font>
      <sz val="10"/>
      <color indexed="8"/>
      <name val="Arial"/>
    </font>
    <font>
      <sz val="11"/>
      <color indexed="8"/>
      <name val="Calibri"/>
      <charset val="186"/>
    </font>
    <font>
      <sz val="11"/>
      <color indexed="8"/>
      <name val="Calibri"/>
    </font>
    <font>
      <sz val="11"/>
      <color indexed="8"/>
      <name val="Calibri"/>
      <family val="2"/>
    </font>
    <font>
      <sz val="10"/>
      <color indexed="8"/>
      <name val="Arial"/>
      <family val="2"/>
    </font>
    <font>
      <sz val="11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indexed="22"/>
        <bgColor indexed="0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7030A0"/>
        <bgColor indexed="64"/>
      </patternFill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1" fillId="0" borderId="0"/>
  </cellStyleXfs>
  <cellXfs count="51">
    <xf numFmtId="0" fontId="0" fillId="0" borderId="0" xfId="0"/>
    <xf numFmtId="0" fontId="0" fillId="2" borderId="0" xfId="0" applyFill="1"/>
    <xf numFmtId="0" fontId="3" fillId="0" borderId="2" xfId="1" applyFont="1" applyBorder="1"/>
    <xf numFmtId="0" fontId="0" fillId="4" borderId="0" xfId="0" applyFill="1"/>
    <xf numFmtId="0" fontId="3" fillId="0" borderId="2" xfId="2" applyFont="1" applyBorder="1"/>
    <xf numFmtId="0" fontId="0" fillId="5" borderId="0" xfId="0" applyFill="1"/>
    <xf numFmtId="0" fontId="2" fillId="3" borderId="1" xfId="3" applyFont="1" applyFill="1" applyBorder="1" applyAlignment="1">
      <alignment horizontal="center"/>
    </xf>
    <xf numFmtId="0" fontId="3" fillId="0" borderId="2" xfId="3" applyFont="1" applyBorder="1"/>
    <xf numFmtId="49" fontId="0" fillId="0" borderId="0" xfId="0" applyNumberFormat="1"/>
    <xf numFmtId="49" fontId="3" fillId="0" borderId="2" xfId="2" applyNumberFormat="1" applyFont="1" applyBorder="1"/>
    <xf numFmtId="0" fontId="4" fillId="3" borderId="1" xfId="4" applyFont="1" applyFill="1" applyBorder="1" applyAlignment="1">
      <alignment horizontal="center"/>
    </xf>
    <xf numFmtId="0" fontId="4" fillId="0" borderId="2" xfId="4" applyFont="1" applyBorder="1"/>
    <xf numFmtId="0" fontId="0" fillId="6" borderId="0" xfId="0" applyFill="1"/>
    <xf numFmtId="0" fontId="2" fillId="3" borderId="1" xfId="5" applyFont="1" applyFill="1" applyBorder="1" applyAlignment="1">
      <alignment horizontal="center"/>
    </xf>
    <xf numFmtId="0" fontId="3" fillId="0" borderId="2" xfId="5" applyFont="1" applyBorder="1"/>
    <xf numFmtId="0" fontId="0" fillId="7" borderId="0" xfId="0" applyFill="1"/>
    <xf numFmtId="0" fontId="0" fillId="2" borderId="3" xfId="0" applyFill="1" applyBorder="1"/>
    <xf numFmtId="0" fontId="0" fillId="0" borderId="3" xfId="0" applyBorder="1"/>
    <xf numFmtId="8" fontId="0" fillId="4" borderId="3" xfId="0" applyNumberFormat="1" applyFill="1" applyBorder="1"/>
    <xf numFmtId="8" fontId="0" fillId="0" borderId="0" xfId="0" applyNumberFormat="1"/>
    <xf numFmtId="0" fontId="3" fillId="8" borderId="3" xfId="5" applyFont="1" applyFill="1" applyBorder="1"/>
    <xf numFmtId="0" fontId="0" fillId="8" borderId="3" xfId="0" applyFill="1" applyBorder="1"/>
    <xf numFmtId="0" fontId="3" fillId="8" borderId="3" xfId="1" applyFont="1" applyFill="1" applyBorder="1"/>
    <xf numFmtId="0" fontId="4" fillId="8" borderId="3" xfId="4" applyFont="1" applyFill="1" applyBorder="1"/>
    <xf numFmtId="0" fontId="3" fillId="8" borderId="3" xfId="2" applyFont="1" applyFill="1" applyBorder="1"/>
    <xf numFmtId="0" fontId="0" fillId="8" borderId="0" xfId="0" applyFill="1"/>
    <xf numFmtId="8" fontId="0" fillId="0" borderId="3" xfId="0" applyNumberFormat="1" applyBorder="1"/>
    <xf numFmtId="0" fontId="0" fillId="4" borderId="3" xfId="0" applyFill="1" applyBorder="1"/>
    <xf numFmtId="8" fontId="0" fillId="8" borderId="3" xfId="0" applyNumberFormat="1" applyFill="1" applyBorder="1"/>
    <xf numFmtId="0" fontId="4" fillId="4" borderId="3" xfId="4" applyFont="1" applyFill="1" applyBorder="1"/>
    <xf numFmtId="0" fontId="3" fillId="4" borderId="3" xfId="1" applyFont="1" applyFill="1" applyBorder="1"/>
    <xf numFmtId="0" fontId="3" fillId="4" borderId="3" xfId="5" applyFont="1" applyFill="1" applyBorder="1"/>
    <xf numFmtId="0" fontId="3" fillId="4" borderId="3" xfId="2" applyFont="1" applyFill="1" applyBorder="1"/>
    <xf numFmtId="0" fontId="0" fillId="9" borderId="0" xfId="0" applyFill="1"/>
    <xf numFmtId="0" fontId="4" fillId="8" borderId="3" xfId="5" applyFont="1" applyFill="1" applyBorder="1"/>
    <xf numFmtId="0" fontId="0" fillId="9" borderId="3" xfId="0" applyFill="1" applyBorder="1"/>
    <xf numFmtId="8" fontId="0" fillId="10" borderId="3" xfId="0" applyNumberFormat="1" applyFill="1" applyBorder="1"/>
    <xf numFmtId="0" fontId="0" fillId="10" borderId="3" xfId="0" applyFill="1" applyBorder="1"/>
    <xf numFmtId="0" fontId="4" fillId="9" borderId="3" xfId="4" applyFont="1" applyFill="1" applyBorder="1"/>
    <xf numFmtId="0" fontId="4" fillId="11" borderId="3" xfId="5" applyFont="1" applyFill="1" applyBorder="1"/>
    <xf numFmtId="0" fontId="4" fillId="4" borderId="3" xfId="1" applyFont="1" applyFill="1" applyBorder="1"/>
    <xf numFmtId="0" fontId="0" fillId="11" borderId="0" xfId="0" applyFill="1"/>
    <xf numFmtId="0" fontId="0" fillId="0" borderId="3" xfId="0" applyNumberFormat="1" applyBorder="1"/>
    <xf numFmtId="0" fontId="0" fillId="2" borderId="3" xfId="0" applyNumberFormat="1" applyFill="1" applyBorder="1"/>
    <xf numFmtId="0" fontId="0" fillId="4" borderId="3" xfId="0" applyNumberFormat="1" applyFill="1" applyBorder="1"/>
    <xf numFmtId="0" fontId="0" fillId="0" borderId="0" xfId="0" applyNumberFormat="1"/>
    <xf numFmtId="0" fontId="0" fillId="10" borderId="3" xfId="0" applyNumberFormat="1" applyFill="1" applyBorder="1"/>
    <xf numFmtId="0" fontId="0" fillId="0" borderId="4" xfId="0" applyNumberFormat="1" applyFill="1" applyBorder="1"/>
    <xf numFmtId="0" fontId="0" fillId="2" borderId="0" xfId="0" applyNumberFormat="1" applyFill="1" applyBorder="1"/>
    <xf numFmtId="0" fontId="6" fillId="9" borderId="0" xfId="0" applyFont="1" applyFill="1"/>
    <xf numFmtId="0" fontId="0" fillId="9" borderId="0" xfId="0" applyNumberFormat="1" applyFill="1"/>
  </cellXfs>
  <cellStyles count="6">
    <cellStyle name="Normal" xfId="0" builtinId="0"/>
    <cellStyle name="Normal_ANR" xfId="2" xr:uid="{00000000-0005-0000-0000-000001000000}"/>
    <cellStyle name="Normal_ART" xfId="3" xr:uid="{00000000-0005-0000-0000-000002000000}"/>
    <cellStyle name="Normal_FDNT" xfId="4" xr:uid="{00000000-0005-0000-0000-000003000000}"/>
    <cellStyle name="Normal_NTT" xfId="5" xr:uid="{00000000-0005-0000-0000-000004000000}"/>
    <cellStyle name="Normal_Sheet1" xfId="1" xr:uid="{00000000-0005-0000-0000-000005000000}"/>
  </cellStyles>
  <dxfs count="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FF66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sharedStrings.xml" Type="http://schemas.openxmlformats.org/officeDocument/2006/relationships/sharedStrings"/><Relationship Id="rId11" Target="calcChain.xml" Type="http://schemas.openxmlformats.org/officeDocument/2006/relationships/calcChain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worksheets/sheet6.xml" Type="http://schemas.openxmlformats.org/officeDocument/2006/relationships/worksheet"/><Relationship Id="rId7" Target="worksheets/sheet7.xml" Type="http://schemas.openxmlformats.org/officeDocument/2006/relationships/worksheet"/><Relationship Id="rId8" Target="theme/theme1.xml" Type="http://schemas.openxmlformats.org/officeDocument/2006/relationships/theme"/><Relationship Id="rId9" Target="styles.xml" Type="http://schemas.openxmlformats.org/officeDocument/2006/relationships/style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82"/>
  <sheetViews>
    <sheetView topLeftCell="A47" workbookViewId="0">
      <selection activeCell="I48" sqref="I48"/>
    </sheetView>
  </sheetViews>
  <sheetFormatPr defaultRowHeight="15" x14ac:dyDescent="0.25"/>
  <cols>
    <col min="1" max="1" width="81.28515625" bestFit="1" customWidth="1"/>
    <col min="2" max="4" width="3" bestFit="1" customWidth="1"/>
    <col min="5" max="13" width="3" customWidth="1"/>
    <col min="14" max="14" width="81.5703125" bestFit="1" customWidth="1"/>
    <col min="15" max="17" width="3" bestFit="1" customWidth="1"/>
    <col min="18" max="18" width="81.28515625" bestFit="1" customWidth="1"/>
    <col min="19" max="21" width="3" bestFit="1" customWidth="1"/>
    <col min="22" max="22" width="89.5703125" bestFit="1" customWidth="1"/>
    <col min="23" max="25" width="3" bestFit="1" customWidth="1"/>
  </cols>
  <sheetData>
    <row r="1" spans="1:25" x14ac:dyDescent="0.25">
      <c r="A1" s="2" t="s">
        <v>14</v>
      </c>
      <c r="B1" s="3">
        <v>20</v>
      </c>
      <c r="C1" s="3">
        <v>25</v>
      </c>
      <c r="D1" s="3">
        <v>30</v>
      </c>
      <c r="E1" s="5">
        <f t="shared" ref="E1:E32" si="0">IFERROR(VLOOKUP($A1,$N:$Q,2,FALSE),0)</f>
        <v>20</v>
      </c>
      <c r="F1" s="5">
        <f t="shared" ref="F1:F32" si="1">IFERROR(VLOOKUP($A1,$N:$Q,3,FALSE),0)</f>
        <v>25</v>
      </c>
      <c r="G1" s="5">
        <f t="shared" ref="G1:G32" si="2">IFERROR(VLOOKUP($A1,$N:$Q,4,FALSE),0)</f>
        <v>30</v>
      </c>
      <c r="H1" s="12">
        <f t="shared" ref="H1:H32" si="3">IFERROR(VLOOKUP($A1,$R:$U,2,FALSE),0)</f>
        <v>20</v>
      </c>
      <c r="I1" s="12">
        <f t="shared" ref="I1:I32" si="4">IFERROR(VLOOKUP($A1,$R:$U,3,FALSE),0)</f>
        <v>25</v>
      </c>
      <c r="J1" s="12">
        <f t="shared" ref="J1:J32" si="5">IFERROR(VLOOKUP($A1,$R:$U,4,FALSE),0)</f>
        <v>30</v>
      </c>
      <c r="K1" s="15">
        <f>IFERROR(VLOOKUP($A1,$V:$Y,2,FALSE),0)</f>
        <v>20</v>
      </c>
      <c r="L1" s="15">
        <f>IFERROR(VLOOKUP($A1,$V:$Y,3,FALSE),0)</f>
        <v>25</v>
      </c>
      <c r="M1" s="15">
        <f>IFERROR(VLOOKUP($A1,$V:$Y,4,FALSE),0)</f>
        <v>30</v>
      </c>
      <c r="N1" t="s">
        <v>14</v>
      </c>
      <c r="O1" s="5">
        <v>20</v>
      </c>
      <c r="P1" s="5">
        <v>25</v>
      </c>
      <c r="Q1" s="5">
        <v>30</v>
      </c>
      <c r="R1" s="11" t="s">
        <v>14</v>
      </c>
      <c r="S1" s="12">
        <v>20</v>
      </c>
      <c r="T1" s="12">
        <v>25</v>
      </c>
      <c r="U1" s="12">
        <v>30</v>
      </c>
      <c r="V1" s="14" t="s">
        <v>14</v>
      </c>
      <c r="W1" s="15">
        <v>20</v>
      </c>
      <c r="X1" s="15">
        <v>25</v>
      </c>
      <c r="Y1" s="15">
        <v>30</v>
      </c>
    </row>
    <row r="2" spans="1:25" x14ac:dyDescent="0.25">
      <c r="A2" s="2" t="s">
        <v>15</v>
      </c>
      <c r="B2" s="3">
        <v>20</v>
      </c>
      <c r="E2" s="5">
        <f t="shared" si="0"/>
        <v>20</v>
      </c>
      <c r="F2" s="5">
        <f t="shared" si="1"/>
        <v>0</v>
      </c>
      <c r="G2" s="5">
        <f t="shared" si="2"/>
        <v>0</v>
      </c>
      <c r="H2" s="12">
        <f t="shared" si="3"/>
        <v>0</v>
      </c>
      <c r="I2" s="12">
        <f t="shared" si="4"/>
        <v>0</v>
      </c>
      <c r="J2" s="12">
        <f t="shared" si="5"/>
        <v>0</v>
      </c>
      <c r="K2" s="15">
        <f t="shared" ref="K2:K65" si="6">IFERROR(VLOOKUP($A2,$V:$Y,2,FALSE),0)</f>
        <v>0</v>
      </c>
      <c r="L2" s="15">
        <f t="shared" ref="L2:L65" si="7">IFERROR(VLOOKUP($A2,$V:$Y,3,FALSE),0)</f>
        <v>0</v>
      </c>
      <c r="M2" s="15">
        <f t="shared" ref="M2:M65" si="8">IFERROR(VLOOKUP($A2,$V:$Y,4,FALSE),0)</f>
        <v>0</v>
      </c>
      <c r="N2" t="s">
        <v>15</v>
      </c>
      <c r="O2" s="5">
        <v>20</v>
      </c>
      <c r="R2" s="11" t="s">
        <v>16</v>
      </c>
      <c r="S2" s="12">
        <v>20</v>
      </c>
      <c r="T2" s="12">
        <v>25</v>
      </c>
      <c r="U2" s="12">
        <v>30</v>
      </c>
      <c r="V2" s="14" t="s">
        <v>16</v>
      </c>
      <c r="W2" s="15">
        <v>20</v>
      </c>
      <c r="X2" s="15">
        <v>25</v>
      </c>
      <c r="Y2" s="15">
        <v>30</v>
      </c>
    </row>
    <row r="3" spans="1:25" x14ac:dyDescent="0.25">
      <c r="A3" s="2" t="s">
        <v>16</v>
      </c>
      <c r="B3" s="3">
        <v>20</v>
      </c>
      <c r="C3" s="3">
        <v>25</v>
      </c>
      <c r="D3" s="3">
        <v>30</v>
      </c>
      <c r="E3" s="5">
        <f t="shared" si="0"/>
        <v>20</v>
      </c>
      <c r="F3" s="5">
        <f t="shared" si="1"/>
        <v>25</v>
      </c>
      <c r="G3" s="5">
        <f t="shared" si="2"/>
        <v>30</v>
      </c>
      <c r="H3" s="12">
        <f t="shared" si="3"/>
        <v>20</v>
      </c>
      <c r="I3" s="12">
        <f t="shared" si="4"/>
        <v>25</v>
      </c>
      <c r="J3" s="12">
        <f t="shared" si="5"/>
        <v>30</v>
      </c>
      <c r="K3" s="15">
        <f t="shared" si="6"/>
        <v>20</v>
      </c>
      <c r="L3" s="15">
        <f t="shared" si="7"/>
        <v>25</v>
      </c>
      <c r="M3" s="15">
        <f t="shared" si="8"/>
        <v>30</v>
      </c>
      <c r="N3" t="s">
        <v>16</v>
      </c>
      <c r="O3" s="5">
        <v>20</v>
      </c>
      <c r="P3" s="5">
        <v>25</v>
      </c>
      <c r="Q3" s="5">
        <v>30</v>
      </c>
      <c r="R3" s="11" t="s">
        <v>17</v>
      </c>
      <c r="S3" s="12">
        <v>20</v>
      </c>
      <c r="T3" s="12">
        <v>25</v>
      </c>
      <c r="U3" s="12">
        <v>30</v>
      </c>
      <c r="V3" s="14" t="s">
        <v>19</v>
      </c>
      <c r="W3" s="15">
        <v>20</v>
      </c>
      <c r="X3" s="15">
        <v>25</v>
      </c>
      <c r="Y3" s="15">
        <v>30</v>
      </c>
    </row>
    <row r="4" spans="1:25" x14ac:dyDescent="0.25">
      <c r="A4" s="2" t="s">
        <v>17</v>
      </c>
      <c r="B4" s="3">
        <v>20</v>
      </c>
      <c r="C4" s="3">
        <v>25</v>
      </c>
      <c r="D4" s="3">
        <v>30</v>
      </c>
      <c r="E4" s="5">
        <f t="shared" si="0"/>
        <v>20</v>
      </c>
      <c r="F4" s="5">
        <f t="shared" si="1"/>
        <v>25</v>
      </c>
      <c r="G4" s="5">
        <f t="shared" si="2"/>
        <v>30</v>
      </c>
      <c r="H4" s="12">
        <f t="shared" si="3"/>
        <v>20</v>
      </c>
      <c r="I4" s="12">
        <f t="shared" si="4"/>
        <v>25</v>
      </c>
      <c r="J4" s="12">
        <f t="shared" si="5"/>
        <v>30</v>
      </c>
      <c r="K4" s="15">
        <f t="shared" si="6"/>
        <v>0</v>
      </c>
      <c r="L4" s="15">
        <f t="shared" si="7"/>
        <v>25</v>
      </c>
      <c r="M4" s="15">
        <f t="shared" si="8"/>
        <v>30</v>
      </c>
      <c r="N4" t="s">
        <v>17</v>
      </c>
      <c r="O4" s="5">
        <v>20</v>
      </c>
      <c r="P4" s="5">
        <v>25</v>
      </c>
      <c r="Q4" s="5">
        <v>30</v>
      </c>
      <c r="R4" s="11" t="s">
        <v>19</v>
      </c>
      <c r="S4" s="12">
        <v>20</v>
      </c>
      <c r="T4" s="12">
        <v>25</v>
      </c>
      <c r="U4" s="12">
        <v>30</v>
      </c>
      <c r="V4" s="14" t="s">
        <v>20</v>
      </c>
      <c r="W4" s="15">
        <v>20</v>
      </c>
      <c r="X4" s="15">
        <v>25</v>
      </c>
      <c r="Y4" s="15">
        <v>30</v>
      </c>
    </row>
    <row r="5" spans="1:25" x14ac:dyDescent="0.25">
      <c r="A5" s="2" t="s">
        <v>18</v>
      </c>
      <c r="B5" s="3">
        <v>20</v>
      </c>
      <c r="C5" s="3">
        <v>25</v>
      </c>
      <c r="D5" s="3">
        <v>30</v>
      </c>
      <c r="E5" s="5">
        <f t="shared" si="0"/>
        <v>0</v>
      </c>
      <c r="F5" s="5">
        <f t="shared" si="1"/>
        <v>0</v>
      </c>
      <c r="G5" s="5">
        <f t="shared" si="2"/>
        <v>0</v>
      </c>
      <c r="H5" s="12">
        <f t="shared" si="3"/>
        <v>0</v>
      </c>
      <c r="I5" s="12">
        <f t="shared" si="4"/>
        <v>0</v>
      </c>
      <c r="J5" s="12">
        <f t="shared" si="5"/>
        <v>0</v>
      </c>
      <c r="K5" s="15">
        <f t="shared" si="6"/>
        <v>0</v>
      </c>
      <c r="L5" s="15">
        <f t="shared" si="7"/>
        <v>0</v>
      </c>
      <c r="M5" s="15">
        <f t="shared" si="8"/>
        <v>0</v>
      </c>
      <c r="N5" t="s">
        <v>19</v>
      </c>
      <c r="O5" s="5">
        <v>20</v>
      </c>
      <c r="P5" s="5">
        <v>25</v>
      </c>
      <c r="Q5" s="5">
        <v>30</v>
      </c>
      <c r="R5" s="11" t="s">
        <v>83</v>
      </c>
      <c r="S5" s="12">
        <v>20</v>
      </c>
      <c r="U5" s="12">
        <v>30</v>
      </c>
      <c r="V5" s="14" t="s">
        <v>21</v>
      </c>
      <c r="W5" s="15">
        <v>20</v>
      </c>
      <c r="X5" s="15">
        <v>25</v>
      </c>
      <c r="Y5" s="15">
        <v>30</v>
      </c>
    </row>
    <row r="6" spans="1:25" x14ac:dyDescent="0.25">
      <c r="A6" s="2" t="s">
        <v>19</v>
      </c>
      <c r="B6" s="3">
        <v>20</v>
      </c>
      <c r="C6" s="3">
        <v>25</v>
      </c>
      <c r="D6" s="3">
        <v>30</v>
      </c>
      <c r="E6" s="5">
        <f t="shared" si="0"/>
        <v>20</v>
      </c>
      <c r="F6" s="5">
        <f t="shared" si="1"/>
        <v>25</v>
      </c>
      <c r="G6" s="5">
        <f t="shared" si="2"/>
        <v>30</v>
      </c>
      <c r="H6" s="12">
        <f t="shared" si="3"/>
        <v>20</v>
      </c>
      <c r="I6" s="12">
        <f t="shared" si="4"/>
        <v>25</v>
      </c>
      <c r="J6" s="12">
        <f t="shared" si="5"/>
        <v>30</v>
      </c>
      <c r="K6" s="15">
        <f t="shared" si="6"/>
        <v>20</v>
      </c>
      <c r="L6" s="15">
        <f t="shared" si="7"/>
        <v>25</v>
      </c>
      <c r="M6" s="15">
        <f t="shared" si="8"/>
        <v>30</v>
      </c>
      <c r="N6" t="s">
        <v>20</v>
      </c>
      <c r="O6" s="5">
        <v>20</v>
      </c>
      <c r="P6" s="5">
        <v>25</v>
      </c>
      <c r="Q6" s="5">
        <v>30</v>
      </c>
      <c r="R6" s="11" t="s">
        <v>20</v>
      </c>
      <c r="S6" s="12">
        <v>20</v>
      </c>
      <c r="T6" s="12">
        <v>25</v>
      </c>
      <c r="U6" s="12">
        <v>30</v>
      </c>
      <c r="V6" s="14" t="s">
        <v>89</v>
      </c>
      <c r="W6" s="15">
        <v>20</v>
      </c>
      <c r="X6" s="15">
        <v>25</v>
      </c>
      <c r="Y6" s="15">
        <v>30</v>
      </c>
    </row>
    <row r="7" spans="1:25" x14ac:dyDescent="0.25">
      <c r="A7" s="2" t="s">
        <v>20</v>
      </c>
      <c r="B7" s="3">
        <v>20</v>
      </c>
      <c r="C7" s="3">
        <v>25</v>
      </c>
      <c r="D7" s="3">
        <v>30</v>
      </c>
      <c r="E7" s="5">
        <f t="shared" si="0"/>
        <v>20</v>
      </c>
      <c r="F7" s="5">
        <f t="shared" si="1"/>
        <v>25</v>
      </c>
      <c r="G7" s="5">
        <f t="shared" si="2"/>
        <v>30</v>
      </c>
      <c r="H7" s="12">
        <f t="shared" si="3"/>
        <v>20</v>
      </c>
      <c r="I7" s="12">
        <f t="shared" si="4"/>
        <v>25</v>
      </c>
      <c r="J7" s="12">
        <f t="shared" si="5"/>
        <v>30</v>
      </c>
      <c r="K7" s="15">
        <f t="shared" si="6"/>
        <v>20</v>
      </c>
      <c r="L7" s="15">
        <f t="shared" si="7"/>
        <v>25</v>
      </c>
      <c r="M7" s="15">
        <f t="shared" si="8"/>
        <v>30</v>
      </c>
      <c r="N7" t="s">
        <v>21</v>
      </c>
      <c r="O7" s="5">
        <v>20</v>
      </c>
      <c r="P7" s="5">
        <v>25</v>
      </c>
      <c r="Q7" s="5">
        <v>30</v>
      </c>
      <c r="R7" s="11" t="s">
        <v>84</v>
      </c>
      <c r="S7" s="12">
        <v>20</v>
      </c>
      <c r="V7" s="14" t="s">
        <v>22</v>
      </c>
      <c r="W7" s="15">
        <v>20</v>
      </c>
      <c r="X7" s="15">
        <v>25</v>
      </c>
      <c r="Y7" s="15">
        <v>30</v>
      </c>
    </row>
    <row r="8" spans="1:25" x14ac:dyDescent="0.25">
      <c r="A8" s="2" t="s">
        <v>21</v>
      </c>
      <c r="B8" s="3">
        <v>20</v>
      </c>
      <c r="C8" s="3">
        <v>25</v>
      </c>
      <c r="D8" s="3">
        <v>30</v>
      </c>
      <c r="E8" s="5">
        <f t="shared" si="0"/>
        <v>20</v>
      </c>
      <c r="F8" s="5">
        <f t="shared" si="1"/>
        <v>25</v>
      </c>
      <c r="G8" s="5">
        <f t="shared" si="2"/>
        <v>30</v>
      </c>
      <c r="H8" s="12">
        <f t="shared" si="3"/>
        <v>0</v>
      </c>
      <c r="I8" s="12">
        <f t="shared" si="4"/>
        <v>25</v>
      </c>
      <c r="J8" s="12">
        <f t="shared" si="5"/>
        <v>30</v>
      </c>
      <c r="K8" s="15">
        <f t="shared" si="6"/>
        <v>20</v>
      </c>
      <c r="L8" s="15">
        <f t="shared" si="7"/>
        <v>25</v>
      </c>
      <c r="M8" s="15">
        <f t="shared" si="8"/>
        <v>30</v>
      </c>
      <c r="N8" t="s">
        <v>22</v>
      </c>
      <c r="O8" s="5">
        <v>20</v>
      </c>
      <c r="P8" s="5">
        <v>25</v>
      </c>
      <c r="Q8" s="5">
        <v>30</v>
      </c>
      <c r="R8" s="11" t="s">
        <v>85</v>
      </c>
      <c r="S8" s="12">
        <v>20</v>
      </c>
      <c r="T8" s="12">
        <v>25</v>
      </c>
      <c r="U8" s="12">
        <v>30</v>
      </c>
      <c r="V8" s="14" t="s">
        <v>90</v>
      </c>
      <c r="W8" s="15">
        <v>20</v>
      </c>
      <c r="X8" s="15">
        <v>25</v>
      </c>
      <c r="Y8" s="15">
        <v>30</v>
      </c>
    </row>
    <row r="9" spans="1:25" x14ac:dyDescent="0.25">
      <c r="A9" s="2" t="s">
        <v>22</v>
      </c>
      <c r="B9" s="3">
        <v>20</v>
      </c>
      <c r="C9" s="3">
        <v>25</v>
      </c>
      <c r="D9" s="3">
        <v>30</v>
      </c>
      <c r="E9" s="5">
        <f t="shared" si="0"/>
        <v>20</v>
      </c>
      <c r="F9" s="5">
        <f t="shared" si="1"/>
        <v>25</v>
      </c>
      <c r="G9" s="5">
        <f t="shared" si="2"/>
        <v>30</v>
      </c>
      <c r="H9" s="12">
        <f t="shared" si="3"/>
        <v>0</v>
      </c>
      <c r="I9" s="12">
        <f t="shared" si="4"/>
        <v>25</v>
      </c>
      <c r="J9" s="12">
        <f t="shared" si="5"/>
        <v>30</v>
      </c>
      <c r="K9" s="15">
        <f t="shared" si="6"/>
        <v>20</v>
      </c>
      <c r="L9" s="15">
        <f t="shared" si="7"/>
        <v>25</v>
      </c>
      <c r="M9" s="15">
        <f t="shared" si="8"/>
        <v>30</v>
      </c>
      <c r="N9" t="s">
        <v>23</v>
      </c>
      <c r="O9" s="5">
        <v>20</v>
      </c>
      <c r="R9" s="11" t="s">
        <v>24</v>
      </c>
      <c r="S9" s="12">
        <v>20</v>
      </c>
      <c r="T9" s="12">
        <v>25</v>
      </c>
      <c r="U9" s="12">
        <v>30</v>
      </c>
      <c r="V9" s="14" t="s">
        <v>67</v>
      </c>
      <c r="W9" s="15">
        <v>20</v>
      </c>
      <c r="X9" s="15">
        <v>25</v>
      </c>
    </row>
    <row r="10" spans="1:25" x14ac:dyDescent="0.25">
      <c r="A10" s="2" t="s">
        <v>23</v>
      </c>
      <c r="B10" s="3">
        <v>20</v>
      </c>
      <c r="E10" s="5">
        <f t="shared" si="0"/>
        <v>20</v>
      </c>
      <c r="F10" s="5">
        <f t="shared" si="1"/>
        <v>0</v>
      </c>
      <c r="G10" s="5">
        <f t="shared" si="2"/>
        <v>0</v>
      </c>
      <c r="H10" s="12">
        <f t="shared" si="3"/>
        <v>0</v>
      </c>
      <c r="I10" s="12">
        <f t="shared" si="4"/>
        <v>0</v>
      </c>
      <c r="J10" s="12">
        <f t="shared" si="5"/>
        <v>0</v>
      </c>
      <c r="K10" s="15">
        <f t="shared" si="6"/>
        <v>0</v>
      </c>
      <c r="L10" s="15">
        <f t="shared" si="7"/>
        <v>0</v>
      </c>
      <c r="M10" s="15">
        <f t="shared" si="8"/>
        <v>0</v>
      </c>
      <c r="N10" t="s">
        <v>67</v>
      </c>
      <c r="O10" s="5">
        <v>20</v>
      </c>
      <c r="P10" s="5">
        <v>25</v>
      </c>
      <c r="Q10" s="5">
        <v>30</v>
      </c>
      <c r="R10" s="11" t="s">
        <v>25</v>
      </c>
      <c r="S10" s="12">
        <v>20</v>
      </c>
      <c r="T10" s="12">
        <v>25</v>
      </c>
      <c r="U10" s="12">
        <v>30</v>
      </c>
      <c r="V10" s="14" t="s">
        <v>25</v>
      </c>
      <c r="W10" s="15">
        <v>20</v>
      </c>
      <c r="X10" s="15">
        <v>25</v>
      </c>
      <c r="Y10" s="15">
        <v>30</v>
      </c>
    </row>
    <row r="11" spans="1:25" x14ac:dyDescent="0.25">
      <c r="A11" s="2" t="s">
        <v>24</v>
      </c>
      <c r="B11" s="3">
        <v>20</v>
      </c>
      <c r="C11" s="3">
        <v>25</v>
      </c>
      <c r="D11" s="3">
        <v>30</v>
      </c>
      <c r="E11" s="5">
        <f t="shared" si="0"/>
        <v>0</v>
      </c>
      <c r="F11" s="5">
        <f t="shared" si="1"/>
        <v>0</v>
      </c>
      <c r="G11" s="5">
        <f t="shared" si="2"/>
        <v>0</v>
      </c>
      <c r="H11" s="12">
        <f t="shared" si="3"/>
        <v>20</v>
      </c>
      <c r="I11" s="12">
        <f t="shared" si="4"/>
        <v>25</v>
      </c>
      <c r="J11" s="12">
        <f t="shared" si="5"/>
        <v>30</v>
      </c>
      <c r="K11" s="15">
        <f t="shared" si="6"/>
        <v>0</v>
      </c>
      <c r="L11" s="15">
        <f t="shared" si="7"/>
        <v>0</v>
      </c>
      <c r="M11" s="15">
        <f t="shared" si="8"/>
        <v>30</v>
      </c>
      <c r="N11" t="s">
        <v>25</v>
      </c>
      <c r="O11" s="5">
        <v>20</v>
      </c>
      <c r="P11" s="5">
        <v>25</v>
      </c>
      <c r="Q11" s="5">
        <v>30</v>
      </c>
      <c r="R11" s="11" t="s">
        <v>26</v>
      </c>
      <c r="S11" s="12">
        <v>20</v>
      </c>
      <c r="T11" s="12">
        <v>25</v>
      </c>
      <c r="V11" s="14" t="s">
        <v>26</v>
      </c>
      <c r="W11" s="15">
        <v>20</v>
      </c>
      <c r="X11" s="15">
        <v>25</v>
      </c>
    </row>
    <row r="12" spans="1:25" x14ac:dyDescent="0.25">
      <c r="A12" s="2" t="s">
        <v>25</v>
      </c>
      <c r="B12" s="3">
        <v>20</v>
      </c>
      <c r="C12" s="3">
        <v>25</v>
      </c>
      <c r="D12" s="3">
        <v>30</v>
      </c>
      <c r="E12" s="5">
        <f t="shared" si="0"/>
        <v>20</v>
      </c>
      <c r="F12" s="5">
        <f t="shared" si="1"/>
        <v>25</v>
      </c>
      <c r="G12" s="5">
        <f t="shared" si="2"/>
        <v>30</v>
      </c>
      <c r="H12" s="12">
        <f t="shared" si="3"/>
        <v>20</v>
      </c>
      <c r="I12" s="12">
        <f t="shared" si="4"/>
        <v>25</v>
      </c>
      <c r="J12" s="12">
        <f t="shared" si="5"/>
        <v>30</v>
      </c>
      <c r="K12" s="15">
        <f t="shared" si="6"/>
        <v>20</v>
      </c>
      <c r="L12" s="15">
        <f t="shared" si="7"/>
        <v>25</v>
      </c>
      <c r="M12" s="15">
        <f t="shared" si="8"/>
        <v>30</v>
      </c>
      <c r="N12" t="s">
        <v>68</v>
      </c>
      <c r="O12" s="5">
        <v>20</v>
      </c>
      <c r="P12" s="5">
        <v>25</v>
      </c>
      <c r="Q12" s="5">
        <v>30</v>
      </c>
      <c r="R12" s="11" t="s">
        <v>28</v>
      </c>
      <c r="S12" s="12">
        <v>20</v>
      </c>
      <c r="T12" s="12">
        <v>25</v>
      </c>
      <c r="U12" s="12">
        <v>30</v>
      </c>
      <c r="V12" s="14" t="s">
        <v>27</v>
      </c>
      <c r="W12" s="15">
        <v>20</v>
      </c>
      <c r="X12" s="15">
        <v>25</v>
      </c>
      <c r="Y12" s="15">
        <v>30</v>
      </c>
    </row>
    <row r="13" spans="1:25" x14ac:dyDescent="0.25">
      <c r="A13" s="2" t="s">
        <v>26</v>
      </c>
      <c r="B13" s="3">
        <v>20</v>
      </c>
      <c r="D13" s="3">
        <v>30</v>
      </c>
      <c r="E13" s="5">
        <f t="shared" si="0"/>
        <v>20</v>
      </c>
      <c r="F13" s="5">
        <f t="shared" si="1"/>
        <v>25</v>
      </c>
      <c r="G13" s="5">
        <f t="shared" si="2"/>
        <v>0</v>
      </c>
      <c r="H13" s="12">
        <f t="shared" si="3"/>
        <v>20</v>
      </c>
      <c r="I13" s="12">
        <f t="shared" si="4"/>
        <v>25</v>
      </c>
      <c r="J13" s="12">
        <f t="shared" si="5"/>
        <v>0</v>
      </c>
      <c r="K13" s="15">
        <f t="shared" si="6"/>
        <v>20</v>
      </c>
      <c r="L13" s="15">
        <f t="shared" si="7"/>
        <v>25</v>
      </c>
      <c r="M13" s="15">
        <f t="shared" si="8"/>
        <v>0</v>
      </c>
      <c r="N13" t="s">
        <v>69</v>
      </c>
      <c r="O13" s="5">
        <v>20</v>
      </c>
      <c r="P13" s="5">
        <v>25</v>
      </c>
      <c r="Q13" s="5">
        <v>30</v>
      </c>
      <c r="R13" s="11" t="s">
        <v>29</v>
      </c>
      <c r="S13" s="12">
        <v>20</v>
      </c>
      <c r="T13" s="12">
        <v>25</v>
      </c>
      <c r="U13" s="12">
        <v>30</v>
      </c>
      <c r="V13" s="14" t="s">
        <v>28</v>
      </c>
      <c r="W13" s="15">
        <v>20</v>
      </c>
      <c r="X13" s="15">
        <v>25</v>
      </c>
      <c r="Y13" s="15">
        <v>30</v>
      </c>
    </row>
    <row r="14" spans="1:25" x14ac:dyDescent="0.25">
      <c r="A14" s="2" t="s">
        <v>27</v>
      </c>
      <c r="B14" s="3">
        <v>20</v>
      </c>
      <c r="C14" s="3">
        <v>25</v>
      </c>
      <c r="D14" s="3">
        <v>30</v>
      </c>
      <c r="E14" s="5">
        <f t="shared" si="0"/>
        <v>20</v>
      </c>
      <c r="F14" s="5">
        <f t="shared" si="1"/>
        <v>25</v>
      </c>
      <c r="G14" s="5">
        <f t="shared" si="2"/>
        <v>30</v>
      </c>
      <c r="H14" s="12">
        <f t="shared" si="3"/>
        <v>0</v>
      </c>
      <c r="I14" s="12">
        <f t="shared" si="4"/>
        <v>0</v>
      </c>
      <c r="J14" s="12">
        <f t="shared" si="5"/>
        <v>0</v>
      </c>
      <c r="K14" s="15">
        <f t="shared" si="6"/>
        <v>20</v>
      </c>
      <c r="L14" s="15">
        <f t="shared" si="7"/>
        <v>25</v>
      </c>
      <c r="M14" s="15">
        <f t="shared" si="8"/>
        <v>30</v>
      </c>
      <c r="N14" t="s">
        <v>26</v>
      </c>
      <c r="O14" s="5">
        <v>20</v>
      </c>
      <c r="P14" s="5">
        <v>25</v>
      </c>
      <c r="R14" s="11" t="s">
        <v>30</v>
      </c>
      <c r="S14" s="12">
        <v>20</v>
      </c>
      <c r="T14" s="12">
        <v>25</v>
      </c>
      <c r="U14" s="12">
        <v>30</v>
      </c>
      <c r="V14" s="14" t="s">
        <v>29</v>
      </c>
      <c r="W14" s="15">
        <v>20</v>
      </c>
      <c r="X14" s="15">
        <v>25</v>
      </c>
      <c r="Y14" s="15">
        <v>30</v>
      </c>
    </row>
    <row r="15" spans="1:25" x14ac:dyDescent="0.25">
      <c r="A15" s="2" t="s">
        <v>28</v>
      </c>
      <c r="B15" s="3">
        <v>20</v>
      </c>
      <c r="C15" s="3">
        <v>25</v>
      </c>
      <c r="D15" s="3">
        <v>30</v>
      </c>
      <c r="E15" s="5">
        <f t="shared" si="0"/>
        <v>20</v>
      </c>
      <c r="F15" s="5">
        <f t="shared" si="1"/>
        <v>25</v>
      </c>
      <c r="G15" s="5">
        <f t="shared" si="2"/>
        <v>30</v>
      </c>
      <c r="H15" s="12">
        <f t="shared" si="3"/>
        <v>20</v>
      </c>
      <c r="I15" s="12">
        <f t="shared" si="4"/>
        <v>25</v>
      </c>
      <c r="J15" s="12">
        <f t="shared" si="5"/>
        <v>30</v>
      </c>
      <c r="K15" s="15">
        <f t="shared" si="6"/>
        <v>20</v>
      </c>
      <c r="L15" s="15">
        <f t="shared" si="7"/>
        <v>25</v>
      </c>
      <c r="M15" s="15">
        <f t="shared" si="8"/>
        <v>30</v>
      </c>
      <c r="N15" t="s">
        <v>27</v>
      </c>
      <c r="O15" s="5">
        <v>20</v>
      </c>
      <c r="P15" s="5">
        <v>25</v>
      </c>
      <c r="Q15" s="5">
        <v>30</v>
      </c>
      <c r="R15" s="11" t="s">
        <v>31</v>
      </c>
      <c r="S15" s="12">
        <v>20</v>
      </c>
      <c r="T15" s="12">
        <v>25</v>
      </c>
      <c r="U15" s="12">
        <v>30</v>
      </c>
      <c r="V15" s="14" t="s">
        <v>30</v>
      </c>
      <c r="W15" s="15">
        <v>20</v>
      </c>
      <c r="X15" s="15">
        <v>25</v>
      </c>
      <c r="Y15" s="15">
        <v>30</v>
      </c>
    </row>
    <row r="16" spans="1:25" x14ac:dyDescent="0.25">
      <c r="A16" s="2" t="s">
        <v>29</v>
      </c>
      <c r="B16" s="3">
        <v>20</v>
      </c>
      <c r="C16" s="3">
        <v>25</v>
      </c>
      <c r="D16" s="3">
        <v>30</v>
      </c>
      <c r="E16" s="5">
        <f t="shared" si="0"/>
        <v>20</v>
      </c>
      <c r="F16" s="5">
        <f t="shared" si="1"/>
        <v>25</v>
      </c>
      <c r="G16" s="5">
        <f t="shared" si="2"/>
        <v>30</v>
      </c>
      <c r="H16" s="12">
        <f t="shared" si="3"/>
        <v>20</v>
      </c>
      <c r="I16" s="12">
        <f t="shared" si="4"/>
        <v>25</v>
      </c>
      <c r="J16" s="12">
        <f t="shared" si="5"/>
        <v>30</v>
      </c>
      <c r="K16" s="15">
        <f t="shared" si="6"/>
        <v>20</v>
      </c>
      <c r="L16" s="15">
        <f t="shared" si="7"/>
        <v>25</v>
      </c>
      <c r="M16" s="15">
        <f t="shared" si="8"/>
        <v>30</v>
      </c>
      <c r="N16" t="s">
        <v>28</v>
      </c>
      <c r="O16" s="5">
        <v>20</v>
      </c>
      <c r="P16" s="5">
        <v>25</v>
      </c>
      <c r="Q16" s="5">
        <v>30</v>
      </c>
      <c r="R16" s="11" t="s">
        <v>32</v>
      </c>
      <c r="S16" s="12">
        <v>20</v>
      </c>
      <c r="T16" s="12">
        <v>25</v>
      </c>
      <c r="U16" s="12">
        <v>30</v>
      </c>
      <c r="V16" s="14" t="s">
        <v>31</v>
      </c>
      <c r="W16" s="15">
        <v>20</v>
      </c>
      <c r="X16" s="15">
        <v>25</v>
      </c>
      <c r="Y16" s="15">
        <v>30</v>
      </c>
    </row>
    <row r="17" spans="1:25" x14ac:dyDescent="0.25">
      <c r="A17" s="2" t="s">
        <v>30</v>
      </c>
      <c r="B17" s="3">
        <v>20</v>
      </c>
      <c r="C17" s="3">
        <v>25</v>
      </c>
      <c r="D17" s="3">
        <v>30</v>
      </c>
      <c r="E17" s="5">
        <f t="shared" si="0"/>
        <v>20</v>
      </c>
      <c r="F17" s="5">
        <f t="shared" si="1"/>
        <v>25</v>
      </c>
      <c r="G17" s="5">
        <f t="shared" si="2"/>
        <v>30</v>
      </c>
      <c r="H17" s="12">
        <f t="shared" si="3"/>
        <v>20</v>
      </c>
      <c r="I17" s="12">
        <f t="shared" si="4"/>
        <v>25</v>
      </c>
      <c r="J17" s="12">
        <f t="shared" si="5"/>
        <v>30</v>
      </c>
      <c r="K17" s="15">
        <f t="shared" si="6"/>
        <v>20</v>
      </c>
      <c r="L17" s="15">
        <f t="shared" si="7"/>
        <v>25</v>
      </c>
      <c r="M17" s="15">
        <f t="shared" si="8"/>
        <v>30</v>
      </c>
      <c r="N17" t="s">
        <v>29</v>
      </c>
      <c r="O17" s="5">
        <v>20</v>
      </c>
      <c r="P17" s="5">
        <v>25</v>
      </c>
      <c r="Q17" s="5">
        <v>30</v>
      </c>
      <c r="R17" s="11" t="s">
        <v>33</v>
      </c>
      <c r="S17" s="12">
        <v>20</v>
      </c>
      <c r="T17" s="12">
        <v>25</v>
      </c>
      <c r="U17" s="12">
        <v>30</v>
      </c>
      <c r="V17" s="14" t="s">
        <v>32</v>
      </c>
      <c r="W17" s="15">
        <v>20</v>
      </c>
      <c r="X17" s="15">
        <v>25</v>
      </c>
      <c r="Y17" s="15">
        <v>30</v>
      </c>
    </row>
    <row r="18" spans="1:25" x14ac:dyDescent="0.25">
      <c r="A18" s="2" t="s">
        <v>31</v>
      </c>
      <c r="B18" s="3">
        <v>20</v>
      </c>
      <c r="C18" s="3">
        <v>25</v>
      </c>
      <c r="D18" s="3">
        <v>30</v>
      </c>
      <c r="E18" s="5">
        <f t="shared" si="0"/>
        <v>20</v>
      </c>
      <c r="F18" s="5">
        <f t="shared" si="1"/>
        <v>25</v>
      </c>
      <c r="G18" s="5">
        <f t="shared" si="2"/>
        <v>30</v>
      </c>
      <c r="H18" s="12">
        <f t="shared" si="3"/>
        <v>20</v>
      </c>
      <c r="I18" s="12">
        <f t="shared" si="4"/>
        <v>25</v>
      </c>
      <c r="J18" s="12">
        <f t="shared" si="5"/>
        <v>30</v>
      </c>
      <c r="K18" s="15">
        <f t="shared" si="6"/>
        <v>20</v>
      </c>
      <c r="L18" s="15">
        <f t="shared" si="7"/>
        <v>25</v>
      </c>
      <c r="M18" s="15">
        <f t="shared" si="8"/>
        <v>30</v>
      </c>
      <c r="N18" t="s">
        <v>30</v>
      </c>
      <c r="O18" s="5">
        <v>20</v>
      </c>
      <c r="P18" s="5">
        <v>25</v>
      </c>
      <c r="Q18" s="5">
        <v>30</v>
      </c>
      <c r="R18" s="11" t="s">
        <v>34</v>
      </c>
      <c r="S18" s="12">
        <v>20</v>
      </c>
      <c r="T18" s="12">
        <v>25</v>
      </c>
      <c r="U18" s="12">
        <v>30</v>
      </c>
      <c r="V18" s="14" t="s">
        <v>91</v>
      </c>
      <c r="W18" s="15">
        <v>20</v>
      </c>
    </row>
    <row r="19" spans="1:25" x14ac:dyDescent="0.25">
      <c r="A19" s="2" t="s">
        <v>32</v>
      </c>
      <c r="B19" s="3">
        <v>20</v>
      </c>
      <c r="C19" s="3">
        <v>25</v>
      </c>
      <c r="D19" s="3">
        <v>30</v>
      </c>
      <c r="E19" s="5">
        <f t="shared" si="0"/>
        <v>20</v>
      </c>
      <c r="F19" s="5">
        <f t="shared" si="1"/>
        <v>25</v>
      </c>
      <c r="G19" s="5">
        <f t="shared" si="2"/>
        <v>30</v>
      </c>
      <c r="H19" s="12">
        <f t="shared" si="3"/>
        <v>20</v>
      </c>
      <c r="I19" s="12">
        <f t="shared" si="4"/>
        <v>25</v>
      </c>
      <c r="J19" s="12">
        <f t="shared" si="5"/>
        <v>30</v>
      </c>
      <c r="K19" s="15">
        <f t="shared" si="6"/>
        <v>20</v>
      </c>
      <c r="L19" s="15">
        <f t="shared" si="7"/>
        <v>25</v>
      </c>
      <c r="M19" s="15">
        <f t="shared" si="8"/>
        <v>30</v>
      </c>
      <c r="N19" t="s">
        <v>31</v>
      </c>
      <c r="O19" s="5">
        <v>20</v>
      </c>
      <c r="P19" s="5">
        <v>25</v>
      </c>
      <c r="Q19" s="5">
        <v>30</v>
      </c>
      <c r="R19" s="11" t="s">
        <v>35</v>
      </c>
      <c r="S19" s="12">
        <v>20</v>
      </c>
      <c r="T19" s="12">
        <v>25</v>
      </c>
      <c r="U19" s="12">
        <v>30</v>
      </c>
      <c r="V19" s="14" t="s">
        <v>34</v>
      </c>
      <c r="W19" s="15">
        <v>20</v>
      </c>
      <c r="X19" s="15">
        <v>25</v>
      </c>
      <c r="Y19" s="15">
        <v>30</v>
      </c>
    </row>
    <row r="20" spans="1:25" x14ac:dyDescent="0.25">
      <c r="A20" s="2" t="s">
        <v>33</v>
      </c>
      <c r="B20" s="3">
        <v>20</v>
      </c>
      <c r="C20" s="3">
        <v>25</v>
      </c>
      <c r="D20" s="3">
        <v>30</v>
      </c>
      <c r="E20" s="5">
        <f t="shared" si="0"/>
        <v>0</v>
      </c>
      <c r="F20" s="5">
        <f t="shared" si="1"/>
        <v>25</v>
      </c>
      <c r="G20" s="5">
        <f t="shared" si="2"/>
        <v>30</v>
      </c>
      <c r="H20" s="12">
        <f t="shared" si="3"/>
        <v>20</v>
      </c>
      <c r="I20" s="12">
        <f t="shared" si="4"/>
        <v>25</v>
      </c>
      <c r="J20" s="12">
        <f t="shared" si="5"/>
        <v>30</v>
      </c>
      <c r="K20" s="15">
        <f t="shared" si="6"/>
        <v>0</v>
      </c>
      <c r="L20" s="15">
        <f t="shared" si="7"/>
        <v>25</v>
      </c>
      <c r="M20" s="15">
        <f t="shared" si="8"/>
        <v>30</v>
      </c>
      <c r="N20" t="s">
        <v>32</v>
      </c>
      <c r="O20" s="5">
        <v>20</v>
      </c>
      <c r="P20" s="5">
        <v>25</v>
      </c>
      <c r="Q20" s="5">
        <v>30</v>
      </c>
      <c r="R20" s="11" t="s">
        <v>36</v>
      </c>
      <c r="S20" s="12">
        <v>20</v>
      </c>
      <c r="T20" s="12">
        <v>25</v>
      </c>
      <c r="U20" s="12">
        <v>30</v>
      </c>
      <c r="V20" s="14" t="s">
        <v>35</v>
      </c>
      <c r="W20" s="15">
        <v>20</v>
      </c>
      <c r="X20" s="15">
        <v>25</v>
      </c>
      <c r="Y20" s="15">
        <v>30</v>
      </c>
    </row>
    <row r="21" spans="1:25" x14ac:dyDescent="0.25">
      <c r="A21" s="2" t="s">
        <v>34</v>
      </c>
      <c r="B21" s="3">
        <v>20</v>
      </c>
      <c r="C21" s="3">
        <v>25</v>
      </c>
      <c r="D21" s="3">
        <v>30</v>
      </c>
      <c r="E21" s="5">
        <f t="shared" si="0"/>
        <v>20</v>
      </c>
      <c r="F21" s="5">
        <f t="shared" si="1"/>
        <v>25</v>
      </c>
      <c r="G21" s="5">
        <f t="shared" si="2"/>
        <v>30</v>
      </c>
      <c r="H21" s="12">
        <f t="shared" si="3"/>
        <v>20</v>
      </c>
      <c r="I21" s="12">
        <f t="shared" si="4"/>
        <v>25</v>
      </c>
      <c r="J21" s="12">
        <f t="shared" si="5"/>
        <v>30</v>
      </c>
      <c r="K21" s="15">
        <f t="shared" si="6"/>
        <v>20</v>
      </c>
      <c r="L21" s="15">
        <f t="shared" si="7"/>
        <v>25</v>
      </c>
      <c r="M21" s="15">
        <f t="shared" si="8"/>
        <v>30</v>
      </c>
      <c r="N21" t="s">
        <v>70</v>
      </c>
      <c r="O21" s="5">
        <v>20</v>
      </c>
      <c r="R21" s="11" t="s">
        <v>37</v>
      </c>
      <c r="S21" s="12">
        <v>20</v>
      </c>
      <c r="T21" s="12">
        <v>25</v>
      </c>
      <c r="U21" s="12">
        <v>30</v>
      </c>
      <c r="V21" s="14" t="s">
        <v>36</v>
      </c>
      <c r="W21" s="15">
        <v>20</v>
      </c>
      <c r="X21" s="15">
        <v>25</v>
      </c>
      <c r="Y21" s="15">
        <v>30</v>
      </c>
    </row>
    <row r="22" spans="1:25" x14ac:dyDescent="0.25">
      <c r="A22" s="2" t="s">
        <v>35</v>
      </c>
      <c r="B22" s="3">
        <v>20</v>
      </c>
      <c r="C22" s="3">
        <v>25</v>
      </c>
      <c r="D22" s="3">
        <v>30</v>
      </c>
      <c r="E22" s="5">
        <f t="shared" si="0"/>
        <v>20</v>
      </c>
      <c r="F22" s="5">
        <f t="shared" si="1"/>
        <v>25</v>
      </c>
      <c r="G22" s="5">
        <f t="shared" si="2"/>
        <v>30</v>
      </c>
      <c r="H22" s="12">
        <f t="shared" si="3"/>
        <v>20</v>
      </c>
      <c r="I22" s="12">
        <f t="shared" si="4"/>
        <v>25</v>
      </c>
      <c r="J22" s="12">
        <f t="shared" si="5"/>
        <v>30</v>
      </c>
      <c r="K22" s="15">
        <f t="shared" si="6"/>
        <v>20</v>
      </c>
      <c r="L22" s="15">
        <f t="shared" si="7"/>
        <v>25</v>
      </c>
      <c r="M22" s="15">
        <f t="shared" si="8"/>
        <v>30</v>
      </c>
      <c r="N22" t="s">
        <v>34</v>
      </c>
      <c r="O22" s="5">
        <v>20</v>
      </c>
      <c r="P22" s="5">
        <v>25</v>
      </c>
      <c r="Q22" s="5">
        <v>30</v>
      </c>
      <c r="R22" s="11" t="s">
        <v>50</v>
      </c>
      <c r="S22" s="12">
        <v>20</v>
      </c>
      <c r="T22" s="12">
        <v>25</v>
      </c>
      <c r="U22" s="12">
        <v>30</v>
      </c>
      <c r="V22" s="14" t="s">
        <v>37</v>
      </c>
      <c r="W22" s="15">
        <v>20</v>
      </c>
      <c r="X22" s="15">
        <v>25</v>
      </c>
      <c r="Y22" s="15">
        <v>30</v>
      </c>
    </row>
    <row r="23" spans="1:25" x14ac:dyDescent="0.25">
      <c r="A23" s="2" t="s">
        <v>36</v>
      </c>
      <c r="B23" s="3">
        <v>20</v>
      </c>
      <c r="C23" s="3">
        <v>25</v>
      </c>
      <c r="D23" s="3">
        <v>30</v>
      </c>
      <c r="E23" s="5">
        <f t="shared" si="0"/>
        <v>20</v>
      </c>
      <c r="F23" s="5">
        <f t="shared" si="1"/>
        <v>25</v>
      </c>
      <c r="G23" s="5">
        <f t="shared" si="2"/>
        <v>30</v>
      </c>
      <c r="H23" s="12">
        <f t="shared" si="3"/>
        <v>20</v>
      </c>
      <c r="I23" s="12">
        <f t="shared" si="4"/>
        <v>25</v>
      </c>
      <c r="J23" s="12">
        <f t="shared" si="5"/>
        <v>30</v>
      </c>
      <c r="K23" s="15">
        <f t="shared" si="6"/>
        <v>20</v>
      </c>
      <c r="L23" s="15">
        <f t="shared" si="7"/>
        <v>25</v>
      </c>
      <c r="M23" s="15">
        <f t="shared" si="8"/>
        <v>30</v>
      </c>
      <c r="N23" t="s">
        <v>35</v>
      </c>
      <c r="O23" s="5">
        <v>20</v>
      </c>
      <c r="P23" s="5">
        <v>25</v>
      </c>
      <c r="Q23" s="5">
        <v>30</v>
      </c>
      <c r="R23" s="11" t="s">
        <v>38</v>
      </c>
      <c r="S23" s="12">
        <v>20</v>
      </c>
      <c r="V23" s="14" t="s">
        <v>92</v>
      </c>
      <c r="W23" s="15">
        <v>20</v>
      </c>
      <c r="X23" s="15">
        <v>25</v>
      </c>
      <c r="Y23" s="15">
        <v>30</v>
      </c>
    </row>
    <row r="24" spans="1:25" x14ac:dyDescent="0.25">
      <c r="A24" s="2" t="s">
        <v>37</v>
      </c>
      <c r="B24" s="3">
        <v>20</v>
      </c>
      <c r="C24" s="3">
        <v>25</v>
      </c>
      <c r="D24" s="3">
        <v>30</v>
      </c>
      <c r="E24" s="5">
        <f t="shared" si="0"/>
        <v>20</v>
      </c>
      <c r="F24" s="5">
        <f t="shared" si="1"/>
        <v>25</v>
      </c>
      <c r="G24" s="5">
        <f t="shared" si="2"/>
        <v>30</v>
      </c>
      <c r="H24" s="12">
        <f t="shared" si="3"/>
        <v>20</v>
      </c>
      <c r="I24" s="12">
        <f t="shared" si="4"/>
        <v>25</v>
      </c>
      <c r="J24" s="12">
        <f t="shared" si="5"/>
        <v>30</v>
      </c>
      <c r="K24" s="15">
        <f t="shared" si="6"/>
        <v>20</v>
      </c>
      <c r="L24" s="15">
        <f t="shared" si="7"/>
        <v>25</v>
      </c>
      <c r="M24" s="15">
        <f t="shared" si="8"/>
        <v>30</v>
      </c>
      <c r="N24" t="s">
        <v>36</v>
      </c>
      <c r="O24" s="5">
        <v>20</v>
      </c>
      <c r="P24" s="5">
        <v>25</v>
      </c>
      <c r="Q24" s="5">
        <v>30</v>
      </c>
      <c r="R24" s="11" t="s">
        <v>86</v>
      </c>
      <c r="S24" s="12">
        <v>20</v>
      </c>
      <c r="V24" s="14" t="s">
        <v>93</v>
      </c>
      <c r="W24" s="15">
        <v>20</v>
      </c>
      <c r="X24" s="15">
        <v>25</v>
      </c>
      <c r="Y24" s="15">
        <v>30</v>
      </c>
    </row>
    <row r="25" spans="1:25" x14ac:dyDescent="0.25">
      <c r="A25" s="2" t="s">
        <v>38</v>
      </c>
      <c r="B25" s="3">
        <v>20</v>
      </c>
      <c r="D25" s="3">
        <v>30</v>
      </c>
      <c r="E25" s="5">
        <f t="shared" si="0"/>
        <v>20</v>
      </c>
      <c r="F25" s="5">
        <f t="shared" si="1"/>
        <v>0</v>
      </c>
      <c r="G25" s="5">
        <f t="shared" si="2"/>
        <v>30</v>
      </c>
      <c r="H25" s="12">
        <f t="shared" si="3"/>
        <v>20</v>
      </c>
      <c r="I25" s="12">
        <f t="shared" si="4"/>
        <v>0</v>
      </c>
      <c r="J25" s="12">
        <f t="shared" si="5"/>
        <v>0</v>
      </c>
      <c r="K25" s="15">
        <f t="shared" si="6"/>
        <v>20</v>
      </c>
      <c r="L25" s="15">
        <f t="shared" si="7"/>
        <v>0</v>
      </c>
      <c r="M25" s="15">
        <f t="shared" si="8"/>
        <v>30</v>
      </c>
      <c r="N25" t="s">
        <v>37</v>
      </c>
      <c r="O25" s="5">
        <v>20</v>
      </c>
      <c r="P25" s="5">
        <v>25</v>
      </c>
      <c r="Q25" s="5">
        <v>30</v>
      </c>
      <c r="R25" s="11" t="s">
        <v>39</v>
      </c>
      <c r="S25" s="12">
        <v>20</v>
      </c>
      <c r="V25" s="14" t="s">
        <v>94</v>
      </c>
      <c r="W25" s="15">
        <v>20</v>
      </c>
      <c r="X25" s="15">
        <v>25</v>
      </c>
      <c r="Y25" s="15">
        <v>30</v>
      </c>
    </row>
    <row r="26" spans="1:25" x14ac:dyDescent="0.25">
      <c r="A26" s="2" t="s">
        <v>39</v>
      </c>
      <c r="B26" s="3">
        <v>20</v>
      </c>
      <c r="E26" s="5">
        <f t="shared" si="0"/>
        <v>20</v>
      </c>
      <c r="F26" s="5">
        <f t="shared" si="1"/>
        <v>0</v>
      </c>
      <c r="G26" s="5">
        <f t="shared" si="2"/>
        <v>0</v>
      </c>
      <c r="H26" s="12">
        <f t="shared" si="3"/>
        <v>20</v>
      </c>
      <c r="I26" s="12">
        <f t="shared" si="4"/>
        <v>0</v>
      </c>
      <c r="J26" s="12">
        <f t="shared" si="5"/>
        <v>0</v>
      </c>
      <c r="K26" s="15">
        <f t="shared" si="6"/>
        <v>20</v>
      </c>
      <c r="L26" s="15">
        <f t="shared" si="7"/>
        <v>0</v>
      </c>
      <c r="M26" s="15">
        <f t="shared" si="8"/>
        <v>0</v>
      </c>
      <c r="N26" t="s">
        <v>71</v>
      </c>
      <c r="O26" s="5">
        <v>20</v>
      </c>
      <c r="P26" s="5">
        <v>25</v>
      </c>
      <c r="Q26" s="5">
        <v>30</v>
      </c>
      <c r="R26" s="11" t="s">
        <v>74</v>
      </c>
      <c r="S26" s="12">
        <v>20</v>
      </c>
      <c r="V26" s="14" t="s">
        <v>95</v>
      </c>
      <c r="W26" s="15">
        <v>20</v>
      </c>
      <c r="Y26" s="15">
        <v>30</v>
      </c>
    </row>
    <row r="27" spans="1:25" x14ac:dyDescent="0.25">
      <c r="A27" s="2" t="s">
        <v>40</v>
      </c>
      <c r="B27" s="3">
        <v>20</v>
      </c>
      <c r="E27" s="5">
        <f t="shared" si="0"/>
        <v>20</v>
      </c>
      <c r="F27" s="5">
        <f t="shared" si="1"/>
        <v>0</v>
      </c>
      <c r="G27" s="5">
        <f t="shared" si="2"/>
        <v>0</v>
      </c>
      <c r="H27" s="12">
        <f t="shared" si="3"/>
        <v>0</v>
      </c>
      <c r="I27" s="12">
        <f t="shared" si="4"/>
        <v>0</v>
      </c>
      <c r="J27" s="12">
        <f t="shared" si="5"/>
        <v>0</v>
      </c>
      <c r="K27" s="15">
        <f t="shared" si="6"/>
        <v>20</v>
      </c>
      <c r="L27" s="15">
        <f t="shared" si="7"/>
        <v>0</v>
      </c>
      <c r="M27" s="15">
        <f t="shared" si="8"/>
        <v>0</v>
      </c>
      <c r="N27" t="s">
        <v>72</v>
      </c>
      <c r="O27" s="5">
        <v>20</v>
      </c>
      <c r="P27" s="5">
        <v>25</v>
      </c>
      <c r="Q27" s="5">
        <v>30</v>
      </c>
      <c r="R27" s="11" t="s">
        <v>42</v>
      </c>
      <c r="S27" s="12">
        <v>20</v>
      </c>
      <c r="T27" s="12">
        <v>25</v>
      </c>
      <c r="U27" s="12">
        <v>30</v>
      </c>
      <c r="V27" s="14" t="s">
        <v>38</v>
      </c>
      <c r="W27" s="15">
        <v>20</v>
      </c>
      <c r="Y27" s="15">
        <v>30</v>
      </c>
    </row>
    <row r="28" spans="1:25" x14ac:dyDescent="0.25">
      <c r="A28" s="2" t="s">
        <v>41</v>
      </c>
      <c r="B28" s="3">
        <v>20</v>
      </c>
      <c r="C28" s="3">
        <v>25</v>
      </c>
      <c r="E28" s="5">
        <f t="shared" si="0"/>
        <v>0</v>
      </c>
      <c r="F28" s="5">
        <f t="shared" si="1"/>
        <v>25</v>
      </c>
      <c r="G28" s="5">
        <f t="shared" si="2"/>
        <v>0</v>
      </c>
      <c r="H28" s="12">
        <f t="shared" si="3"/>
        <v>0</v>
      </c>
      <c r="I28" s="12">
        <f t="shared" si="4"/>
        <v>25</v>
      </c>
      <c r="J28" s="12">
        <f t="shared" si="5"/>
        <v>0</v>
      </c>
      <c r="K28" s="15">
        <f t="shared" si="6"/>
        <v>0</v>
      </c>
      <c r="L28" s="15">
        <f t="shared" si="7"/>
        <v>25</v>
      </c>
      <c r="M28" s="15">
        <f t="shared" si="8"/>
        <v>0</v>
      </c>
      <c r="N28" t="s">
        <v>73</v>
      </c>
      <c r="O28" s="5">
        <v>20</v>
      </c>
      <c r="P28" s="5">
        <v>25</v>
      </c>
      <c r="Q28" s="5">
        <v>30</v>
      </c>
      <c r="R28" s="11" t="s">
        <v>87</v>
      </c>
      <c r="T28" s="12">
        <v>25</v>
      </c>
      <c r="V28" s="14" t="s">
        <v>39</v>
      </c>
      <c r="W28" s="15">
        <v>20</v>
      </c>
    </row>
    <row r="29" spans="1:25" x14ac:dyDescent="0.25">
      <c r="A29" s="2" t="s">
        <v>42</v>
      </c>
      <c r="B29" s="3">
        <v>20</v>
      </c>
      <c r="C29" s="3">
        <v>25</v>
      </c>
      <c r="D29" s="3">
        <v>30</v>
      </c>
      <c r="E29" s="5">
        <f t="shared" si="0"/>
        <v>20</v>
      </c>
      <c r="F29" s="5">
        <f t="shared" si="1"/>
        <v>25</v>
      </c>
      <c r="G29" s="5">
        <f t="shared" si="2"/>
        <v>30</v>
      </c>
      <c r="H29" s="12">
        <f t="shared" si="3"/>
        <v>20</v>
      </c>
      <c r="I29" s="12">
        <f t="shared" si="4"/>
        <v>25</v>
      </c>
      <c r="J29" s="12">
        <f t="shared" si="5"/>
        <v>30</v>
      </c>
      <c r="K29" s="15">
        <f t="shared" si="6"/>
        <v>20</v>
      </c>
      <c r="L29" s="15">
        <f t="shared" si="7"/>
        <v>25</v>
      </c>
      <c r="M29" s="15">
        <f t="shared" si="8"/>
        <v>30</v>
      </c>
      <c r="N29" t="s">
        <v>38</v>
      </c>
      <c r="O29" s="5">
        <v>20</v>
      </c>
      <c r="Q29" s="5">
        <v>30</v>
      </c>
      <c r="R29" s="11" t="s">
        <v>21</v>
      </c>
      <c r="T29" s="12">
        <v>25</v>
      </c>
      <c r="U29" s="12">
        <v>30</v>
      </c>
      <c r="V29" s="14" t="s">
        <v>40</v>
      </c>
      <c r="W29" s="15">
        <v>20</v>
      </c>
    </row>
    <row r="30" spans="1:25" x14ac:dyDescent="0.25">
      <c r="A30" s="4" t="s">
        <v>43</v>
      </c>
      <c r="C30" s="3">
        <v>25</v>
      </c>
      <c r="D30" s="3">
        <v>30</v>
      </c>
      <c r="E30" s="5">
        <f t="shared" si="0"/>
        <v>0</v>
      </c>
      <c r="F30" s="5">
        <f t="shared" si="1"/>
        <v>25</v>
      </c>
      <c r="G30" s="5">
        <f t="shared" si="2"/>
        <v>30</v>
      </c>
      <c r="H30" s="12">
        <f t="shared" si="3"/>
        <v>0</v>
      </c>
      <c r="I30" s="12">
        <f t="shared" si="4"/>
        <v>25</v>
      </c>
      <c r="J30" s="12">
        <f t="shared" si="5"/>
        <v>30</v>
      </c>
      <c r="K30" s="15">
        <f t="shared" si="6"/>
        <v>0</v>
      </c>
      <c r="L30" s="15">
        <f t="shared" si="7"/>
        <v>25</v>
      </c>
      <c r="M30" s="15">
        <f t="shared" si="8"/>
        <v>30</v>
      </c>
      <c r="N30" t="s">
        <v>39</v>
      </c>
      <c r="O30" s="5">
        <v>20</v>
      </c>
      <c r="R30" s="11" t="s">
        <v>43</v>
      </c>
      <c r="T30" s="12">
        <v>25</v>
      </c>
      <c r="U30" s="12">
        <v>30</v>
      </c>
      <c r="V30" s="14" t="s">
        <v>74</v>
      </c>
      <c r="W30" s="15">
        <v>20</v>
      </c>
    </row>
    <row r="31" spans="1:25" x14ac:dyDescent="0.25">
      <c r="A31" s="4" t="s">
        <v>44</v>
      </c>
      <c r="C31" s="3">
        <v>25</v>
      </c>
      <c r="D31" s="3">
        <v>30</v>
      </c>
      <c r="E31" s="5">
        <f t="shared" si="0"/>
        <v>0</v>
      </c>
      <c r="F31" s="5">
        <f t="shared" si="1"/>
        <v>0</v>
      </c>
      <c r="G31" s="5">
        <f t="shared" si="2"/>
        <v>0</v>
      </c>
      <c r="H31" s="12">
        <f t="shared" si="3"/>
        <v>0</v>
      </c>
      <c r="I31" s="12">
        <f t="shared" si="4"/>
        <v>0</v>
      </c>
      <c r="J31" s="12">
        <f t="shared" si="5"/>
        <v>0</v>
      </c>
      <c r="K31" s="15">
        <f t="shared" si="6"/>
        <v>0</v>
      </c>
      <c r="L31" s="15">
        <f t="shared" si="7"/>
        <v>0</v>
      </c>
      <c r="M31" s="15">
        <f t="shared" si="8"/>
        <v>0</v>
      </c>
      <c r="N31" t="s">
        <v>40</v>
      </c>
      <c r="O31" s="5">
        <v>20</v>
      </c>
      <c r="R31" s="11" t="s">
        <v>22</v>
      </c>
      <c r="T31" s="12">
        <v>25</v>
      </c>
      <c r="U31" s="12">
        <v>30</v>
      </c>
      <c r="V31" s="14" t="s">
        <v>42</v>
      </c>
      <c r="W31" s="15">
        <v>20</v>
      </c>
      <c r="X31" s="15">
        <v>25</v>
      </c>
      <c r="Y31" s="15">
        <v>30</v>
      </c>
    </row>
    <row r="32" spans="1:25" x14ac:dyDescent="0.25">
      <c r="A32" s="4" t="s">
        <v>45</v>
      </c>
      <c r="C32" s="3">
        <v>25</v>
      </c>
      <c r="D32" s="3">
        <v>30</v>
      </c>
      <c r="E32" s="5">
        <f t="shared" si="0"/>
        <v>0</v>
      </c>
      <c r="F32" s="5">
        <f t="shared" si="1"/>
        <v>25</v>
      </c>
      <c r="G32" s="5">
        <f t="shared" si="2"/>
        <v>30</v>
      </c>
      <c r="H32" s="12">
        <f t="shared" si="3"/>
        <v>0</v>
      </c>
      <c r="I32" s="12">
        <f t="shared" si="4"/>
        <v>0</v>
      </c>
      <c r="J32" s="12">
        <f t="shared" si="5"/>
        <v>0</v>
      </c>
      <c r="K32" s="15">
        <f t="shared" si="6"/>
        <v>0</v>
      </c>
      <c r="L32" s="15">
        <f t="shared" si="7"/>
        <v>0</v>
      </c>
      <c r="M32" s="15">
        <f t="shared" si="8"/>
        <v>0</v>
      </c>
      <c r="N32" t="s">
        <v>74</v>
      </c>
      <c r="O32" s="5">
        <v>20</v>
      </c>
      <c r="R32" s="11" t="s">
        <v>47</v>
      </c>
      <c r="T32" s="12">
        <v>25</v>
      </c>
      <c r="U32" s="12">
        <v>30</v>
      </c>
      <c r="V32" s="14" t="s">
        <v>17</v>
      </c>
      <c r="X32" s="15">
        <v>25</v>
      </c>
      <c r="Y32" s="15">
        <v>30</v>
      </c>
    </row>
    <row r="33" spans="1:25" x14ac:dyDescent="0.25">
      <c r="A33" s="4" t="s">
        <v>46</v>
      </c>
      <c r="C33" s="3">
        <v>25</v>
      </c>
      <c r="E33" s="5">
        <f t="shared" ref="E33:E52" si="9">IFERROR(VLOOKUP($A33,$N:$Q,2,FALSE),0)</f>
        <v>0</v>
      </c>
      <c r="F33" s="5">
        <f t="shared" ref="F33:F52" si="10">IFERROR(VLOOKUP($A33,$N:$Q,3,FALSE),0)</f>
        <v>0</v>
      </c>
      <c r="G33" s="5">
        <f t="shared" ref="G33:G52" si="11">IFERROR(VLOOKUP($A33,$N:$Q,4,FALSE),0)</f>
        <v>30</v>
      </c>
      <c r="H33" s="12">
        <f t="shared" ref="H33:H52" si="12">IFERROR(VLOOKUP($A33,$R:$U,2,FALSE),0)</f>
        <v>0</v>
      </c>
      <c r="I33" s="12">
        <f t="shared" ref="I33:I52" si="13">IFERROR(VLOOKUP($A33,$R:$U,3,FALSE),0)</f>
        <v>0</v>
      </c>
      <c r="J33" s="12">
        <f t="shared" ref="J33:J52" si="14">IFERROR(VLOOKUP($A33,$R:$U,4,FALSE),0)</f>
        <v>30</v>
      </c>
      <c r="K33" s="15">
        <f t="shared" si="6"/>
        <v>0</v>
      </c>
      <c r="L33" s="15">
        <f t="shared" si="7"/>
        <v>0</v>
      </c>
      <c r="M33" s="15">
        <f t="shared" si="8"/>
        <v>30</v>
      </c>
      <c r="N33" t="s">
        <v>42</v>
      </c>
      <c r="O33" s="5">
        <v>20</v>
      </c>
      <c r="P33" s="5">
        <v>25</v>
      </c>
      <c r="Q33" s="5">
        <v>30</v>
      </c>
      <c r="R33" s="11" t="s">
        <v>48</v>
      </c>
      <c r="T33" s="12">
        <v>25</v>
      </c>
      <c r="U33" s="12">
        <v>30</v>
      </c>
      <c r="V33" s="14" t="s">
        <v>43</v>
      </c>
      <c r="X33" s="15">
        <v>25</v>
      </c>
      <c r="Y33" s="15">
        <v>30</v>
      </c>
    </row>
    <row r="34" spans="1:25" x14ac:dyDescent="0.25">
      <c r="A34" s="4" t="s">
        <v>47</v>
      </c>
      <c r="C34" s="3">
        <v>25</v>
      </c>
      <c r="E34" s="5">
        <f t="shared" si="9"/>
        <v>0</v>
      </c>
      <c r="F34" s="5">
        <f t="shared" si="10"/>
        <v>25</v>
      </c>
      <c r="G34" s="5">
        <f t="shared" si="11"/>
        <v>0</v>
      </c>
      <c r="H34" s="12">
        <f t="shared" si="12"/>
        <v>0</v>
      </c>
      <c r="I34" s="12">
        <f t="shared" si="13"/>
        <v>25</v>
      </c>
      <c r="J34" s="12">
        <f t="shared" si="14"/>
        <v>30</v>
      </c>
      <c r="K34" s="15">
        <f t="shared" si="6"/>
        <v>0</v>
      </c>
      <c r="L34" s="15">
        <f t="shared" si="7"/>
        <v>25</v>
      </c>
      <c r="M34" s="15">
        <f t="shared" si="8"/>
        <v>0</v>
      </c>
      <c r="N34" t="s">
        <v>75</v>
      </c>
      <c r="P34" s="5">
        <v>25</v>
      </c>
      <c r="R34" s="11" t="s">
        <v>49</v>
      </c>
      <c r="T34" s="12">
        <v>25</v>
      </c>
      <c r="U34" s="12">
        <v>30</v>
      </c>
      <c r="V34" s="14" t="s">
        <v>33</v>
      </c>
      <c r="X34" s="15">
        <v>25</v>
      </c>
      <c r="Y34" s="15">
        <v>30</v>
      </c>
    </row>
    <row r="35" spans="1:25" x14ac:dyDescent="0.25">
      <c r="A35" s="4" t="s">
        <v>48</v>
      </c>
      <c r="C35" s="3">
        <v>25</v>
      </c>
      <c r="E35" s="5">
        <f t="shared" si="9"/>
        <v>0</v>
      </c>
      <c r="F35" s="5">
        <f t="shared" si="10"/>
        <v>25</v>
      </c>
      <c r="G35" s="5">
        <f t="shared" si="11"/>
        <v>0</v>
      </c>
      <c r="H35" s="12">
        <f t="shared" si="12"/>
        <v>0</v>
      </c>
      <c r="I35" s="12">
        <f t="shared" si="13"/>
        <v>25</v>
      </c>
      <c r="J35" s="12">
        <f t="shared" si="14"/>
        <v>30</v>
      </c>
      <c r="K35" s="15">
        <f t="shared" si="6"/>
        <v>0</v>
      </c>
      <c r="L35" s="15">
        <f t="shared" si="7"/>
        <v>25</v>
      </c>
      <c r="M35" s="15">
        <f t="shared" si="8"/>
        <v>0</v>
      </c>
      <c r="N35" t="s">
        <v>43</v>
      </c>
      <c r="P35" s="5">
        <v>25</v>
      </c>
      <c r="Q35" s="5">
        <v>30</v>
      </c>
      <c r="R35" s="11" t="s">
        <v>52</v>
      </c>
      <c r="T35" s="12">
        <v>25</v>
      </c>
      <c r="U35" s="12">
        <v>30</v>
      </c>
      <c r="V35" s="14" t="s">
        <v>96</v>
      </c>
      <c r="X35" s="15">
        <v>25</v>
      </c>
    </row>
    <row r="36" spans="1:25" x14ac:dyDescent="0.25">
      <c r="A36" s="4" t="s">
        <v>49</v>
      </c>
      <c r="C36" s="3">
        <v>25</v>
      </c>
      <c r="E36" s="5">
        <f t="shared" si="9"/>
        <v>0</v>
      </c>
      <c r="F36" s="5">
        <f t="shared" si="10"/>
        <v>25</v>
      </c>
      <c r="G36" s="5">
        <f t="shared" si="11"/>
        <v>0</v>
      </c>
      <c r="H36" s="12">
        <f t="shared" si="12"/>
        <v>0</v>
      </c>
      <c r="I36" s="12">
        <f t="shared" si="13"/>
        <v>25</v>
      </c>
      <c r="J36" s="12">
        <f t="shared" si="14"/>
        <v>30</v>
      </c>
      <c r="K36" s="15">
        <f t="shared" si="6"/>
        <v>0</v>
      </c>
      <c r="L36" s="15">
        <f t="shared" si="7"/>
        <v>25</v>
      </c>
      <c r="M36" s="15">
        <f t="shared" si="8"/>
        <v>0</v>
      </c>
      <c r="N36" t="s">
        <v>76</v>
      </c>
      <c r="P36" s="5">
        <v>25</v>
      </c>
      <c r="Q36" s="5">
        <v>30</v>
      </c>
      <c r="R36" s="11" t="s">
        <v>53</v>
      </c>
      <c r="T36" s="12">
        <v>25</v>
      </c>
      <c r="U36" s="12">
        <v>30</v>
      </c>
      <c r="V36" s="14" t="s">
        <v>47</v>
      </c>
      <c r="X36" s="15">
        <v>25</v>
      </c>
    </row>
    <row r="37" spans="1:25" x14ac:dyDescent="0.25">
      <c r="A37" s="4" t="s">
        <v>50</v>
      </c>
      <c r="C37" s="3">
        <v>25</v>
      </c>
      <c r="D37" s="3">
        <v>30</v>
      </c>
      <c r="E37" s="5">
        <f t="shared" si="9"/>
        <v>0</v>
      </c>
      <c r="F37" s="5">
        <f t="shared" si="10"/>
        <v>25</v>
      </c>
      <c r="G37" s="5">
        <f t="shared" si="11"/>
        <v>30</v>
      </c>
      <c r="H37" s="12">
        <f t="shared" si="12"/>
        <v>20</v>
      </c>
      <c r="I37" s="12">
        <f t="shared" si="13"/>
        <v>25</v>
      </c>
      <c r="J37" s="12">
        <f t="shared" si="14"/>
        <v>30</v>
      </c>
      <c r="K37" s="15">
        <f t="shared" si="6"/>
        <v>0</v>
      </c>
      <c r="L37" s="15">
        <f t="shared" si="7"/>
        <v>25</v>
      </c>
      <c r="M37" s="15">
        <f t="shared" si="8"/>
        <v>30</v>
      </c>
      <c r="N37" t="s">
        <v>45</v>
      </c>
      <c r="P37" s="5">
        <v>25</v>
      </c>
      <c r="Q37" s="5">
        <v>30</v>
      </c>
      <c r="R37" s="11" t="s">
        <v>88</v>
      </c>
      <c r="T37" s="12">
        <v>25</v>
      </c>
      <c r="V37" s="14" t="s">
        <v>48</v>
      </c>
      <c r="X37" s="15">
        <v>25</v>
      </c>
    </row>
    <row r="38" spans="1:25" x14ac:dyDescent="0.25">
      <c r="A38" s="4" t="s">
        <v>51</v>
      </c>
      <c r="C38" s="3">
        <v>25</v>
      </c>
      <c r="D38" s="3">
        <v>30</v>
      </c>
      <c r="E38" s="5">
        <f t="shared" si="9"/>
        <v>0</v>
      </c>
      <c r="F38" s="5">
        <f t="shared" si="10"/>
        <v>25</v>
      </c>
      <c r="G38" s="5">
        <f t="shared" si="11"/>
        <v>30</v>
      </c>
      <c r="H38" s="12">
        <f t="shared" si="12"/>
        <v>0</v>
      </c>
      <c r="I38" s="12">
        <f t="shared" si="13"/>
        <v>0</v>
      </c>
      <c r="J38" s="12">
        <f t="shared" si="14"/>
        <v>0</v>
      </c>
      <c r="K38" s="15">
        <f t="shared" si="6"/>
        <v>0</v>
      </c>
      <c r="L38" s="15">
        <f t="shared" si="7"/>
        <v>0</v>
      </c>
      <c r="M38" s="15">
        <f t="shared" si="8"/>
        <v>0</v>
      </c>
      <c r="N38" t="s">
        <v>33</v>
      </c>
      <c r="P38" s="5">
        <v>25</v>
      </c>
      <c r="Q38" s="5">
        <v>30</v>
      </c>
      <c r="R38" s="11" t="s">
        <v>41</v>
      </c>
      <c r="T38" s="12">
        <v>25</v>
      </c>
      <c r="V38" s="14" t="s">
        <v>49</v>
      </c>
      <c r="X38" s="15">
        <v>25</v>
      </c>
    </row>
    <row r="39" spans="1:25" x14ac:dyDescent="0.25">
      <c r="A39" s="4" t="s">
        <v>52</v>
      </c>
      <c r="C39" s="3">
        <v>25</v>
      </c>
      <c r="D39" s="3">
        <v>30</v>
      </c>
      <c r="E39" s="5">
        <f t="shared" si="9"/>
        <v>0</v>
      </c>
      <c r="F39" s="5">
        <f t="shared" si="10"/>
        <v>25</v>
      </c>
      <c r="G39" s="5">
        <f t="shared" si="11"/>
        <v>30</v>
      </c>
      <c r="H39" s="12">
        <f t="shared" si="12"/>
        <v>0</v>
      </c>
      <c r="I39" s="12">
        <f t="shared" si="13"/>
        <v>25</v>
      </c>
      <c r="J39" s="12">
        <f t="shared" si="14"/>
        <v>30</v>
      </c>
      <c r="K39" s="15">
        <f t="shared" si="6"/>
        <v>0</v>
      </c>
      <c r="L39" s="15">
        <f t="shared" si="7"/>
        <v>25</v>
      </c>
      <c r="M39" s="15">
        <f t="shared" si="8"/>
        <v>30</v>
      </c>
      <c r="N39" t="s">
        <v>77</v>
      </c>
      <c r="P39" s="5">
        <v>25</v>
      </c>
      <c r="Q39" s="5">
        <v>30</v>
      </c>
      <c r="R39" s="11" t="s">
        <v>46</v>
      </c>
      <c r="U39" s="12">
        <v>30</v>
      </c>
      <c r="V39" s="14" t="s">
        <v>50</v>
      </c>
      <c r="X39" s="15">
        <v>25</v>
      </c>
      <c r="Y39" s="15">
        <v>30</v>
      </c>
    </row>
    <row r="40" spans="1:25" x14ac:dyDescent="0.25">
      <c r="A40" s="4" t="s">
        <v>53</v>
      </c>
      <c r="C40" s="3">
        <v>25</v>
      </c>
      <c r="D40" s="3">
        <v>30</v>
      </c>
      <c r="E40" s="5">
        <f t="shared" si="9"/>
        <v>0</v>
      </c>
      <c r="F40" s="5">
        <f t="shared" si="10"/>
        <v>25</v>
      </c>
      <c r="G40" s="5">
        <f t="shared" si="11"/>
        <v>30</v>
      </c>
      <c r="H40" s="12">
        <f t="shared" si="12"/>
        <v>0</v>
      </c>
      <c r="I40" s="12">
        <f t="shared" si="13"/>
        <v>25</v>
      </c>
      <c r="J40" s="12">
        <f t="shared" si="14"/>
        <v>30</v>
      </c>
      <c r="K40" s="15">
        <f t="shared" si="6"/>
        <v>0</v>
      </c>
      <c r="L40" s="15">
        <f t="shared" si="7"/>
        <v>25</v>
      </c>
      <c r="M40" s="15">
        <f t="shared" si="8"/>
        <v>30</v>
      </c>
      <c r="N40" t="s">
        <v>78</v>
      </c>
      <c r="P40" s="5">
        <v>25</v>
      </c>
      <c r="Q40" s="5">
        <v>30</v>
      </c>
      <c r="V40" s="14" t="s">
        <v>52</v>
      </c>
      <c r="X40" s="15">
        <v>25</v>
      </c>
      <c r="Y40" s="15">
        <v>30</v>
      </c>
    </row>
    <row r="41" spans="1:25" x14ac:dyDescent="0.25">
      <c r="A41" s="4" t="s">
        <v>55</v>
      </c>
      <c r="D41" s="3">
        <v>30</v>
      </c>
      <c r="E41" s="5">
        <f t="shared" si="9"/>
        <v>0</v>
      </c>
      <c r="F41" s="5">
        <f t="shared" si="10"/>
        <v>0</v>
      </c>
      <c r="G41" s="5">
        <f t="shared" si="11"/>
        <v>30</v>
      </c>
      <c r="H41" s="12">
        <f t="shared" si="12"/>
        <v>0</v>
      </c>
      <c r="I41" s="12">
        <f t="shared" si="13"/>
        <v>0</v>
      </c>
      <c r="J41" s="12">
        <f t="shared" si="14"/>
        <v>0</v>
      </c>
      <c r="K41" s="15">
        <f t="shared" si="6"/>
        <v>0</v>
      </c>
      <c r="L41" s="15">
        <f t="shared" si="7"/>
        <v>0</v>
      </c>
      <c r="M41" s="15">
        <f t="shared" si="8"/>
        <v>0</v>
      </c>
      <c r="N41" t="s">
        <v>79</v>
      </c>
      <c r="P41" s="5">
        <v>25</v>
      </c>
      <c r="Q41" s="5">
        <v>30</v>
      </c>
      <c r="V41" s="14" t="s">
        <v>53</v>
      </c>
      <c r="X41" s="15">
        <v>25</v>
      </c>
      <c r="Y41" s="15">
        <v>30</v>
      </c>
    </row>
    <row r="42" spans="1:25" x14ac:dyDescent="0.25">
      <c r="A42" s="4" t="s">
        <v>56</v>
      </c>
      <c r="D42" s="3">
        <v>30</v>
      </c>
      <c r="E42" s="5">
        <f t="shared" si="9"/>
        <v>0</v>
      </c>
      <c r="F42" s="5">
        <f t="shared" si="10"/>
        <v>0</v>
      </c>
      <c r="G42" s="5">
        <f t="shared" si="11"/>
        <v>0</v>
      </c>
      <c r="H42" s="12">
        <f t="shared" si="12"/>
        <v>0</v>
      </c>
      <c r="I42" s="12">
        <f t="shared" si="13"/>
        <v>0</v>
      </c>
      <c r="J42" s="12">
        <f t="shared" si="14"/>
        <v>0</v>
      </c>
      <c r="K42" s="15">
        <f t="shared" si="6"/>
        <v>0</v>
      </c>
      <c r="L42" s="15">
        <f t="shared" si="7"/>
        <v>0</v>
      </c>
      <c r="M42" s="15">
        <f t="shared" si="8"/>
        <v>0</v>
      </c>
      <c r="N42" t="s">
        <v>80</v>
      </c>
      <c r="P42" s="5">
        <v>25</v>
      </c>
      <c r="Q42" s="5">
        <v>30</v>
      </c>
      <c r="V42" s="14" t="s">
        <v>97</v>
      </c>
      <c r="X42" s="15">
        <v>25</v>
      </c>
    </row>
    <row r="43" spans="1:25" x14ac:dyDescent="0.25">
      <c r="A43" s="4" t="s">
        <v>57</v>
      </c>
      <c r="D43" s="3">
        <v>30</v>
      </c>
      <c r="E43" s="5">
        <f t="shared" si="9"/>
        <v>0</v>
      </c>
      <c r="F43" s="5">
        <f t="shared" si="10"/>
        <v>0</v>
      </c>
      <c r="G43" s="5">
        <f t="shared" si="11"/>
        <v>0</v>
      </c>
      <c r="H43" s="12">
        <f t="shared" si="12"/>
        <v>0</v>
      </c>
      <c r="I43" s="12">
        <f t="shared" si="13"/>
        <v>0</v>
      </c>
      <c r="J43" s="12">
        <f t="shared" si="14"/>
        <v>0</v>
      </c>
      <c r="K43" s="15">
        <f t="shared" si="6"/>
        <v>0</v>
      </c>
      <c r="L43" s="15">
        <f t="shared" si="7"/>
        <v>0</v>
      </c>
      <c r="M43" s="15">
        <f t="shared" si="8"/>
        <v>0</v>
      </c>
      <c r="N43" t="s">
        <v>81</v>
      </c>
      <c r="P43" s="5">
        <v>25</v>
      </c>
      <c r="V43" s="14" t="s">
        <v>98</v>
      </c>
      <c r="X43" s="15">
        <v>25</v>
      </c>
    </row>
    <row r="44" spans="1:25" x14ac:dyDescent="0.25">
      <c r="A44" s="4" t="s">
        <v>58</v>
      </c>
      <c r="D44" s="3">
        <v>30</v>
      </c>
      <c r="E44" s="5">
        <f t="shared" si="9"/>
        <v>0</v>
      </c>
      <c r="F44" s="5">
        <f t="shared" si="10"/>
        <v>0</v>
      </c>
      <c r="G44" s="5">
        <f t="shared" si="11"/>
        <v>0</v>
      </c>
      <c r="H44" s="12">
        <f t="shared" si="12"/>
        <v>0</v>
      </c>
      <c r="I44" s="12">
        <f t="shared" si="13"/>
        <v>0</v>
      </c>
      <c r="J44" s="12">
        <f t="shared" si="14"/>
        <v>0</v>
      </c>
      <c r="K44" s="15">
        <f t="shared" si="6"/>
        <v>0</v>
      </c>
      <c r="L44" s="15">
        <f t="shared" si="7"/>
        <v>0</v>
      </c>
      <c r="M44" s="15">
        <f t="shared" si="8"/>
        <v>0</v>
      </c>
      <c r="N44" t="s">
        <v>47</v>
      </c>
      <c r="P44" s="5">
        <v>25</v>
      </c>
      <c r="V44" s="14" t="s">
        <v>41</v>
      </c>
      <c r="X44" s="15">
        <v>25</v>
      </c>
    </row>
    <row r="45" spans="1:25" x14ac:dyDescent="0.25">
      <c r="A45" s="4" t="s">
        <v>59</v>
      </c>
      <c r="D45" s="3">
        <v>30</v>
      </c>
      <c r="E45" s="5">
        <f t="shared" si="9"/>
        <v>0</v>
      </c>
      <c r="F45" s="5">
        <f t="shared" si="10"/>
        <v>0</v>
      </c>
      <c r="G45" s="5">
        <f t="shared" si="11"/>
        <v>0</v>
      </c>
      <c r="H45" s="12">
        <f t="shared" si="12"/>
        <v>0</v>
      </c>
      <c r="I45" s="12">
        <f t="shared" si="13"/>
        <v>0</v>
      </c>
      <c r="J45" s="12">
        <f t="shared" si="14"/>
        <v>0</v>
      </c>
      <c r="K45" s="15">
        <f t="shared" si="6"/>
        <v>0</v>
      </c>
      <c r="L45" s="15">
        <f t="shared" si="7"/>
        <v>0</v>
      </c>
      <c r="M45" s="15">
        <f t="shared" si="8"/>
        <v>0</v>
      </c>
      <c r="N45" t="s">
        <v>48</v>
      </c>
      <c r="P45" s="5">
        <v>25</v>
      </c>
      <c r="V45" s="14" t="s">
        <v>24</v>
      </c>
      <c r="Y45" s="15">
        <v>30</v>
      </c>
    </row>
    <row r="46" spans="1:25" x14ac:dyDescent="0.25">
      <c r="A46" s="4" t="s">
        <v>60</v>
      </c>
      <c r="D46" s="3">
        <v>30</v>
      </c>
      <c r="E46" s="5">
        <f t="shared" si="9"/>
        <v>0</v>
      </c>
      <c r="F46" s="5">
        <f t="shared" si="10"/>
        <v>0</v>
      </c>
      <c r="G46" s="5">
        <f t="shared" si="11"/>
        <v>0</v>
      </c>
      <c r="H46" s="12">
        <f t="shared" si="12"/>
        <v>0</v>
      </c>
      <c r="I46" s="12">
        <f t="shared" si="13"/>
        <v>0</v>
      </c>
      <c r="J46" s="12">
        <f t="shared" si="14"/>
        <v>0</v>
      </c>
      <c r="K46" s="15">
        <f t="shared" si="6"/>
        <v>0</v>
      </c>
      <c r="L46" s="15">
        <f t="shared" si="7"/>
        <v>0</v>
      </c>
      <c r="M46" s="15">
        <f t="shared" si="8"/>
        <v>0</v>
      </c>
      <c r="N46" t="s">
        <v>49</v>
      </c>
      <c r="P46" s="5">
        <v>25</v>
      </c>
      <c r="V46" s="14" t="s">
        <v>46</v>
      </c>
      <c r="Y46" s="15">
        <v>30</v>
      </c>
    </row>
    <row r="47" spans="1:25" x14ac:dyDescent="0.25">
      <c r="A47" s="4" t="s">
        <v>61</v>
      </c>
      <c r="D47" s="3">
        <v>30</v>
      </c>
      <c r="E47" s="5">
        <f t="shared" si="9"/>
        <v>0</v>
      </c>
      <c r="F47" s="5">
        <f t="shared" si="10"/>
        <v>0</v>
      </c>
      <c r="G47" s="5">
        <f t="shared" si="11"/>
        <v>0</v>
      </c>
      <c r="H47" s="12">
        <f t="shared" si="12"/>
        <v>0</v>
      </c>
      <c r="I47" s="12">
        <f t="shared" si="13"/>
        <v>0</v>
      </c>
      <c r="J47" s="12">
        <f t="shared" si="14"/>
        <v>0</v>
      </c>
      <c r="K47" s="15">
        <f t="shared" si="6"/>
        <v>0</v>
      </c>
      <c r="L47" s="15">
        <f t="shared" si="7"/>
        <v>0</v>
      </c>
      <c r="M47" s="15">
        <f t="shared" si="8"/>
        <v>0</v>
      </c>
      <c r="N47" t="s">
        <v>50</v>
      </c>
      <c r="P47" s="5">
        <v>25</v>
      </c>
      <c r="Q47" s="5">
        <v>30</v>
      </c>
      <c r="V47" s="14" t="s">
        <v>62</v>
      </c>
      <c r="Y47" s="15">
        <v>30</v>
      </c>
    </row>
    <row r="48" spans="1:25" x14ac:dyDescent="0.25">
      <c r="A48" s="4" t="s">
        <v>62</v>
      </c>
      <c r="D48" s="3">
        <v>30</v>
      </c>
      <c r="E48" s="5">
        <f t="shared" si="9"/>
        <v>0</v>
      </c>
      <c r="F48" s="5">
        <f t="shared" si="10"/>
        <v>0</v>
      </c>
      <c r="G48" s="5">
        <f t="shared" si="11"/>
        <v>30</v>
      </c>
      <c r="H48" s="12">
        <f t="shared" si="12"/>
        <v>0</v>
      </c>
      <c r="I48" s="12">
        <f t="shared" si="13"/>
        <v>0</v>
      </c>
      <c r="J48" s="12">
        <f t="shared" si="14"/>
        <v>0</v>
      </c>
      <c r="K48" s="15">
        <f t="shared" si="6"/>
        <v>0</v>
      </c>
      <c r="L48" s="15">
        <f t="shared" si="7"/>
        <v>0</v>
      </c>
      <c r="M48" s="15">
        <f t="shared" si="8"/>
        <v>30</v>
      </c>
      <c r="N48" t="s">
        <v>51</v>
      </c>
      <c r="P48" s="5">
        <v>25</v>
      </c>
      <c r="Q48" s="5">
        <v>30</v>
      </c>
      <c r="V48" s="14" t="s">
        <v>63</v>
      </c>
      <c r="Y48" s="15">
        <v>30</v>
      </c>
    </row>
    <row r="49" spans="1:17" x14ac:dyDescent="0.25">
      <c r="A49" s="4" t="s">
        <v>63</v>
      </c>
      <c r="D49" s="3">
        <v>30</v>
      </c>
      <c r="E49" s="5">
        <f t="shared" si="9"/>
        <v>0</v>
      </c>
      <c r="F49" s="5">
        <f t="shared" si="10"/>
        <v>0</v>
      </c>
      <c r="G49" s="5">
        <f t="shared" si="11"/>
        <v>30</v>
      </c>
      <c r="H49" s="12">
        <f t="shared" si="12"/>
        <v>0</v>
      </c>
      <c r="I49" s="12">
        <f t="shared" si="13"/>
        <v>0</v>
      </c>
      <c r="J49" s="12">
        <f t="shared" si="14"/>
        <v>0</v>
      </c>
      <c r="K49" s="15">
        <f t="shared" si="6"/>
        <v>0</v>
      </c>
      <c r="L49" s="15">
        <f t="shared" si="7"/>
        <v>0</v>
      </c>
      <c r="M49" s="15">
        <f t="shared" si="8"/>
        <v>30</v>
      </c>
      <c r="N49" t="s">
        <v>52</v>
      </c>
      <c r="P49" s="5">
        <v>25</v>
      </c>
      <c r="Q49" s="5">
        <v>30</v>
      </c>
    </row>
    <row r="50" spans="1:17" x14ac:dyDescent="0.25">
      <c r="A50" s="4" t="s">
        <v>64</v>
      </c>
      <c r="D50" s="3">
        <v>30</v>
      </c>
      <c r="E50" s="5">
        <f t="shared" si="9"/>
        <v>0</v>
      </c>
      <c r="F50" s="5">
        <f t="shared" si="10"/>
        <v>0</v>
      </c>
      <c r="G50" s="5">
        <f t="shared" si="11"/>
        <v>0</v>
      </c>
      <c r="H50" s="12">
        <f t="shared" si="12"/>
        <v>0</v>
      </c>
      <c r="I50" s="12">
        <f t="shared" si="13"/>
        <v>0</v>
      </c>
      <c r="J50" s="12">
        <f t="shared" si="14"/>
        <v>0</v>
      </c>
      <c r="K50" s="15">
        <f t="shared" si="6"/>
        <v>0</v>
      </c>
      <c r="L50" s="15">
        <f t="shared" si="7"/>
        <v>0</v>
      </c>
      <c r="M50" s="15">
        <f t="shared" si="8"/>
        <v>0</v>
      </c>
      <c r="N50" t="s">
        <v>53</v>
      </c>
      <c r="P50" s="5">
        <v>25</v>
      </c>
      <c r="Q50" s="5">
        <v>30</v>
      </c>
    </row>
    <row r="51" spans="1:17" x14ac:dyDescent="0.25">
      <c r="A51" s="4" t="s">
        <v>65</v>
      </c>
      <c r="D51" s="3">
        <v>30</v>
      </c>
      <c r="E51" s="5">
        <f t="shared" si="9"/>
        <v>0</v>
      </c>
      <c r="F51" s="5">
        <f t="shared" si="10"/>
        <v>0</v>
      </c>
      <c r="G51" s="5">
        <f t="shared" si="11"/>
        <v>0</v>
      </c>
      <c r="H51" s="12">
        <f t="shared" si="12"/>
        <v>0</v>
      </c>
      <c r="I51" s="12">
        <f t="shared" si="13"/>
        <v>0</v>
      </c>
      <c r="J51" s="12">
        <f t="shared" si="14"/>
        <v>0</v>
      </c>
      <c r="K51" s="15">
        <f t="shared" si="6"/>
        <v>0</v>
      </c>
      <c r="L51" s="15">
        <f t="shared" si="7"/>
        <v>0</v>
      </c>
      <c r="M51" s="15">
        <f t="shared" si="8"/>
        <v>0</v>
      </c>
      <c r="N51" t="s">
        <v>82</v>
      </c>
      <c r="P51" s="5">
        <v>25</v>
      </c>
    </row>
    <row r="52" spans="1:17" x14ac:dyDescent="0.25">
      <c r="A52" s="4" t="s">
        <v>66</v>
      </c>
      <c r="D52" s="3">
        <v>30</v>
      </c>
      <c r="E52" s="5">
        <f t="shared" si="9"/>
        <v>0</v>
      </c>
      <c r="F52" s="5">
        <f t="shared" si="10"/>
        <v>0</v>
      </c>
      <c r="G52" s="5">
        <f t="shared" si="11"/>
        <v>0</v>
      </c>
      <c r="H52" s="12">
        <f t="shared" si="12"/>
        <v>0</v>
      </c>
      <c r="I52" s="12">
        <f t="shared" si="13"/>
        <v>0</v>
      </c>
      <c r="J52" s="12">
        <f t="shared" si="14"/>
        <v>0</v>
      </c>
      <c r="K52" s="15">
        <f t="shared" si="6"/>
        <v>0</v>
      </c>
      <c r="L52" s="15">
        <f t="shared" si="7"/>
        <v>0</v>
      </c>
      <c r="M52" s="15">
        <f t="shared" si="8"/>
        <v>0</v>
      </c>
      <c r="N52" t="s">
        <v>41</v>
      </c>
      <c r="P52" s="5">
        <v>25</v>
      </c>
    </row>
    <row r="53" spans="1:17" x14ac:dyDescent="0.25">
      <c r="A53" t="s">
        <v>67</v>
      </c>
      <c r="E53" s="5">
        <f t="shared" ref="E53:E82" si="15">IFERROR(VLOOKUP($A53,$N:$Q,2,FALSE),0)</f>
        <v>20</v>
      </c>
      <c r="F53" s="5">
        <f t="shared" ref="F53:F82" si="16">IFERROR(VLOOKUP($A53,$N:$Q,3,FALSE),0)</f>
        <v>25</v>
      </c>
      <c r="G53" s="5">
        <f t="shared" ref="G53:G82" si="17">IFERROR(VLOOKUP($A53,$N:$Q,4,FALSE),0)</f>
        <v>30</v>
      </c>
      <c r="H53" s="12">
        <f t="shared" ref="H53:H82" si="18">IFERROR(VLOOKUP($A53,$R:$U,2,FALSE),0)</f>
        <v>0</v>
      </c>
      <c r="I53" s="12">
        <f t="shared" ref="I53:I82" si="19">IFERROR(VLOOKUP($A53,$R:$U,3,FALSE),0)</f>
        <v>0</v>
      </c>
      <c r="J53" s="12">
        <f t="shared" ref="J53:J82" si="20">IFERROR(VLOOKUP($A53,$R:$U,4,FALSE),0)</f>
        <v>0</v>
      </c>
      <c r="K53" s="15">
        <f t="shared" si="6"/>
        <v>20</v>
      </c>
      <c r="L53" s="15">
        <f t="shared" si="7"/>
        <v>25</v>
      </c>
      <c r="M53" s="15">
        <f t="shared" si="8"/>
        <v>0</v>
      </c>
      <c r="N53" t="s">
        <v>55</v>
      </c>
      <c r="Q53" s="5">
        <v>30</v>
      </c>
    </row>
    <row r="54" spans="1:17" x14ac:dyDescent="0.25">
      <c r="A54" t="s">
        <v>68</v>
      </c>
      <c r="E54" s="5">
        <f t="shared" si="15"/>
        <v>20</v>
      </c>
      <c r="F54" s="5">
        <f t="shared" si="16"/>
        <v>25</v>
      </c>
      <c r="G54" s="5">
        <f t="shared" si="17"/>
        <v>30</v>
      </c>
      <c r="H54" s="12">
        <f t="shared" si="18"/>
        <v>0</v>
      </c>
      <c r="I54" s="12">
        <f t="shared" si="19"/>
        <v>0</v>
      </c>
      <c r="J54" s="12">
        <f t="shared" si="20"/>
        <v>0</v>
      </c>
      <c r="K54" s="15">
        <f t="shared" si="6"/>
        <v>0</v>
      </c>
      <c r="L54" s="15">
        <f t="shared" si="7"/>
        <v>0</v>
      </c>
      <c r="M54" s="15">
        <f t="shared" si="8"/>
        <v>0</v>
      </c>
      <c r="N54" t="s">
        <v>46</v>
      </c>
      <c r="Q54" s="5">
        <v>30</v>
      </c>
    </row>
    <row r="55" spans="1:17" x14ac:dyDescent="0.25">
      <c r="A55" t="s">
        <v>69</v>
      </c>
      <c r="E55" s="5">
        <f t="shared" si="15"/>
        <v>20</v>
      </c>
      <c r="F55" s="5">
        <f t="shared" si="16"/>
        <v>25</v>
      </c>
      <c r="G55" s="5">
        <f t="shared" si="17"/>
        <v>30</v>
      </c>
      <c r="H55" s="12">
        <f t="shared" si="18"/>
        <v>0</v>
      </c>
      <c r="I55" s="12">
        <f t="shared" si="19"/>
        <v>0</v>
      </c>
      <c r="J55" s="12">
        <f t="shared" si="20"/>
        <v>0</v>
      </c>
      <c r="K55" s="15">
        <f t="shared" si="6"/>
        <v>0</v>
      </c>
      <c r="L55" s="15">
        <f t="shared" si="7"/>
        <v>0</v>
      </c>
      <c r="M55" s="15">
        <f t="shared" si="8"/>
        <v>0</v>
      </c>
      <c r="N55" t="s">
        <v>62</v>
      </c>
      <c r="Q55" s="5">
        <v>30</v>
      </c>
    </row>
    <row r="56" spans="1:17" x14ac:dyDescent="0.25">
      <c r="A56" t="s">
        <v>70</v>
      </c>
      <c r="E56" s="5">
        <f t="shared" si="15"/>
        <v>20</v>
      </c>
      <c r="F56" s="5">
        <f t="shared" si="16"/>
        <v>0</v>
      </c>
      <c r="G56" s="5">
        <f t="shared" si="17"/>
        <v>0</v>
      </c>
      <c r="H56" s="12">
        <f t="shared" si="18"/>
        <v>0</v>
      </c>
      <c r="I56" s="12">
        <f t="shared" si="19"/>
        <v>0</v>
      </c>
      <c r="J56" s="12">
        <f t="shared" si="20"/>
        <v>0</v>
      </c>
      <c r="K56" s="15">
        <f t="shared" si="6"/>
        <v>0</v>
      </c>
      <c r="L56" s="15">
        <f t="shared" si="7"/>
        <v>0</v>
      </c>
      <c r="M56" s="15">
        <f t="shared" si="8"/>
        <v>0</v>
      </c>
      <c r="N56" t="s">
        <v>63</v>
      </c>
      <c r="Q56" s="5">
        <v>30</v>
      </c>
    </row>
    <row r="57" spans="1:17" x14ac:dyDescent="0.25">
      <c r="A57" t="s">
        <v>71</v>
      </c>
      <c r="E57" s="5">
        <f t="shared" si="15"/>
        <v>20</v>
      </c>
      <c r="F57" s="5">
        <f t="shared" si="16"/>
        <v>25</v>
      </c>
      <c r="G57" s="5">
        <f t="shared" si="17"/>
        <v>30</v>
      </c>
      <c r="H57" s="12">
        <f t="shared" si="18"/>
        <v>0</v>
      </c>
      <c r="I57" s="12">
        <f t="shared" si="19"/>
        <v>0</v>
      </c>
      <c r="J57" s="12">
        <f t="shared" si="20"/>
        <v>0</v>
      </c>
      <c r="K57" s="15">
        <f t="shared" si="6"/>
        <v>0</v>
      </c>
      <c r="L57" s="15">
        <f t="shared" si="7"/>
        <v>0</v>
      </c>
      <c r="M57" s="15">
        <f t="shared" si="8"/>
        <v>0</v>
      </c>
    </row>
    <row r="58" spans="1:17" x14ac:dyDescent="0.25">
      <c r="A58" t="s">
        <v>72</v>
      </c>
      <c r="E58" s="5">
        <f t="shared" si="15"/>
        <v>20</v>
      </c>
      <c r="F58" s="5">
        <f t="shared" si="16"/>
        <v>25</v>
      </c>
      <c r="G58" s="5">
        <f t="shared" si="17"/>
        <v>30</v>
      </c>
      <c r="H58" s="12">
        <f t="shared" si="18"/>
        <v>0</v>
      </c>
      <c r="I58" s="12">
        <f t="shared" si="19"/>
        <v>0</v>
      </c>
      <c r="J58" s="12">
        <f t="shared" si="20"/>
        <v>0</v>
      </c>
      <c r="K58" s="15">
        <f t="shared" si="6"/>
        <v>0</v>
      </c>
      <c r="L58" s="15">
        <f t="shared" si="7"/>
        <v>0</v>
      </c>
      <c r="M58" s="15">
        <f t="shared" si="8"/>
        <v>0</v>
      </c>
    </row>
    <row r="59" spans="1:17" x14ac:dyDescent="0.25">
      <c r="A59" t="s">
        <v>73</v>
      </c>
      <c r="E59" s="5">
        <f t="shared" si="15"/>
        <v>20</v>
      </c>
      <c r="F59" s="5">
        <f t="shared" si="16"/>
        <v>25</v>
      </c>
      <c r="G59" s="5">
        <f t="shared" si="17"/>
        <v>30</v>
      </c>
      <c r="H59" s="12">
        <f t="shared" si="18"/>
        <v>0</v>
      </c>
      <c r="I59" s="12">
        <f t="shared" si="19"/>
        <v>0</v>
      </c>
      <c r="J59" s="12">
        <f t="shared" si="20"/>
        <v>0</v>
      </c>
      <c r="K59" s="15">
        <f t="shared" si="6"/>
        <v>0</v>
      </c>
      <c r="L59" s="15">
        <f t="shared" si="7"/>
        <v>0</v>
      </c>
      <c r="M59" s="15">
        <f t="shared" si="8"/>
        <v>0</v>
      </c>
    </row>
    <row r="60" spans="1:17" x14ac:dyDescent="0.25">
      <c r="A60" t="s">
        <v>74</v>
      </c>
      <c r="E60" s="5">
        <f t="shared" si="15"/>
        <v>20</v>
      </c>
      <c r="F60" s="5">
        <f t="shared" si="16"/>
        <v>0</v>
      </c>
      <c r="G60" s="5">
        <f t="shared" si="17"/>
        <v>0</v>
      </c>
      <c r="H60" s="12">
        <f t="shared" si="18"/>
        <v>20</v>
      </c>
      <c r="I60" s="12">
        <f t="shared" si="19"/>
        <v>0</v>
      </c>
      <c r="J60" s="12">
        <f t="shared" si="20"/>
        <v>0</v>
      </c>
      <c r="K60" s="15">
        <f t="shared" si="6"/>
        <v>20</v>
      </c>
      <c r="L60" s="15">
        <f t="shared" si="7"/>
        <v>0</v>
      </c>
      <c r="M60" s="15">
        <f t="shared" si="8"/>
        <v>0</v>
      </c>
    </row>
    <row r="61" spans="1:17" x14ac:dyDescent="0.25">
      <c r="A61" t="s">
        <v>75</v>
      </c>
      <c r="E61" s="5">
        <f t="shared" si="15"/>
        <v>0</v>
      </c>
      <c r="F61" s="5">
        <f t="shared" si="16"/>
        <v>25</v>
      </c>
      <c r="G61" s="5">
        <f t="shared" si="17"/>
        <v>0</v>
      </c>
      <c r="H61" s="12">
        <f t="shared" si="18"/>
        <v>0</v>
      </c>
      <c r="I61" s="12">
        <f t="shared" si="19"/>
        <v>0</v>
      </c>
      <c r="J61" s="12">
        <f t="shared" si="20"/>
        <v>0</v>
      </c>
      <c r="K61" s="15">
        <f t="shared" si="6"/>
        <v>0</v>
      </c>
      <c r="L61" s="15">
        <f t="shared" si="7"/>
        <v>0</v>
      </c>
      <c r="M61" s="15">
        <f t="shared" si="8"/>
        <v>0</v>
      </c>
    </row>
    <row r="62" spans="1:17" x14ac:dyDescent="0.25">
      <c r="A62" t="s">
        <v>76</v>
      </c>
      <c r="E62" s="5">
        <f t="shared" si="15"/>
        <v>0</v>
      </c>
      <c r="F62" s="5">
        <f t="shared" si="16"/>
        <v>25</v>
      </c>
      <c r="G62" s="5">
        <f t="shared" si="17"/>
        <v>30</v>
      </c>
      <c r="H62" s="12">
        <f t="shared" si="18"/>
        <v>0</v>
      </c>
      <c r="I62" s="12">
        <f t="shared" si="19"/>
        <v>0</v>
      </c>
      <c r="J62" s="12">
        <f t="shared" si="20"/>
        <v>0</v>
      </c>
      <c r="K62" s="15">
        <f t="shared" si="6"/>
        <v>0</v>
      </c>
      <c r="L62" s="15">
        <f t="shared" si="7"/>
        <v>0</v>
      </c>
      <c r="M62" s="15">
        <f t="shared" si="8"/>
        <v>0</v>
      </c>
    </row>
    <row r="63" spans="1:17" x14ac:dyDescent="0.25">
      <c r="A63" t="s">
        <v>77</v>
      </c>
      <c r="E63" s="5">
        <f t="shared" si="15"/>
        <v>0</v>
      </c>
      <c r="F63" s="5">
        <f t="shared" si="16"/>
        <v>25</v>
      </c>
      <c r="G63" s="5">
        <f t="shared" si="17"/>
        <v>30</v>
      </c>
      <c r="H63" s="12">
        <f t="shared" si="18"/>
        <v>0</v>
      </c>
      <c r="I63" s="12">
        <f t="shared" si="19"/>
        <v>0</v>
      </c>
      <c r="J63" s="12">
        <f t="shared" si="20"/>
        <v>0</v>
      </c>
      <c r="K63" s="15">
        <f t="shared" si="6"/>
        <v>0</v>
      </c>
      <c r="L63" s="15">
        <f t="shared" si="7"/>
        <v>0</v>
      </c>
      <c r="M63" s="15">
        <f t="shared" si="8"/>
        <v>0</v>
      </c>
    </row>
    <row r="64" spans="1:17" x14ac:dyDescent="0.25">
      <c r="A64" t="s">
        <v>78</v>
      </c>
      <c r="E64" s="5">
        <f t="shared" si="15"/>
        <v>0</v>
      </c>
      <c r="F64" s="5">
        <f t="shared" si="16"/>
        <v>25</v>
      </c>
      <c r="G64" s="5">
        <f t="shared" si="17"/>
        <v>30</v>
      </c>
      <c r="H64" s="12">
        <f t="shared" si="18"/>
        <v>0</v>
      </c>
      <c r="I64" s="12">
        <f t="shared" si="19"/>
        <v>0</v>
      </c>
      <c r="J64" s="12">
        <f t="shared" si="20"/>
        <v>0</v>
      </c>
      <c r="K64" s="15">
        <f t="shared" si="6"/>
        <v>0</v>
      </c>
      <c r="L64" s="15">
        <f t="shared" si="7"/>
        <v>0</v>
      </c>
      <c r="M64" s="15">
        <f t="shared" si="8"/>
        <v>0</v>
      </c>
    </row>
    <row r="65" spans="1:13" x14ac:dyDescent="0.25">
      <c r="A65" t="s">
        <v>79</v>
      </c>
      <c r="E65" s="5">
        <f t="shared" si="15"/>
        <v>0</v>
      </c>
      <c r="F65" s="5">
        <f t="shared" si="16"/>
        <v>25</v>
      </c>
      <c r="G65" s="5">
        <f t="shared" si="17"/>
        <v>30</v>
      </c>
      <c r="H65" s="12">
        <f t="shared" si="18"/>
        <v>0</v>
      </c>
      <c r="I65" s="12">
        <f t="shared" si="19"/>
        <v>0</v>
      </c>
      <c r="J65" s="12">
        <f t="shared" si="20"/>
        <v>0</v>
      </c>
      <c r="K65" s="15">
        <f t="shared" si="6"/>
        <v>0</v>
      </c>
      <c r="L65" s="15">
        <f t="shared" si="7"/>
        <v>0</v>
      </c>
      <c r="M65" s="15">
        <f t="shared" si="8"/>
        <v>0</v>
      </c>
    </row>
    <row r="66" spans="1:13" x14ac:dyDescent="0.25">
      <c r="A66" t="s">
        <v>80</v>
      </c>
      <c r="E66" s="5">
        <f t="shared" si="15"/>
        <v>0</v>
      </c>
      <c r="F66" s="5">
        <f t="shared" si="16"/>
        <v>25</v>
      </c>
      <c r="G66" s="5">
        <f t="shared" si="17"/>
        <v>30</v>
      </c>
      <c r="H66" s="12">
        <f t="shared" si="18"/>
        <v>0</v>
      </c>
      <c r="I66" s="12">
        <f t="shared" si="19"/>
        <v>0</v>
      </c>
      <c r="J66" s="12">
        <f t="shared" si="20"/>
        <v>0</v>
      </c>
      <c r="K66" s="15">
        <f t="shared" ref="K66:K82" si="21">IFERROR(VLOOKUP($A66,$V:$Y,2,FALSE),0)</f>
        <v>0</v>
      </c>
      <c r="L66" s="15">
        <f t="shared" ref="L66:L82" si="22">IFERROR(VLOOKUP($A66,$V:$Y,3,FALSE),0)</f>
        <v>0</v>
      </c>
      <c r="M66" s="15">
        <f t="shared" ref="M66:M82" si="23">IFERROR(VLOOKUP($A66,$V:$Y,4,FALSE),0)</f>
        <v>0</v>
      </c>
    </row>
    <row r="67" spans="1:13" x14ac:dyDescent="0.25">
      <c r="A67" t="s">
        <v>81</v>
      </c>
      <c r="E67" s="5">
        <f t="shared" si="15"/>
        <v>0</v>
      </c>
      <c r="F67" s="5">
        <f t="shared" si="16"/>
        <v>25</v>
      </c>
      <c r="G67" s="5">
        <f t="shared" si="17"/>
        <v>0</v>
      </c>
      <c r="H67" s="12">
        <f t="shared" si="18"/>
        <v>0</v>
      </c>
      <c r="I67" s="12">
        <f t="shared" si="19"/>
        <v>0</v>
      </c>
      <c r="J67" s="12">
        <f t="shared" si="20"/>
        <v>0</v>
      </c>
      <c r="K67" s="15">
        <f t="shared" si="21"/>
        <v>0</v>
      </c>
      <c r="L67" s="15">
        <f t="shared" si="22"/>
        <v>0</v>
      </c>
      <c r="M67" s="15">
        <f t="shared" si="23"/>
        <v>0</v>
      </c>
    </row>
    <row r="68" spans="1:13" x14ac:dyDescent="0.25">
      <c r="A68" t="s">
        <v>82</v>
      </c>
      <c r="E68" s="5">
        <f t="shared" si="15"/>
        <v>0</v>
      </c>
      <c r="F68" s="5">
        <f t="shared" si="16"/>
        <v>25</v>
      </c>
      <c r="G68" s="5">
        <f t="shared" si="17"/>
        <v>0</v>
      </c>
      <c r="H68" s="12">
        <f t="shared" si="18"/>
        <v>0</v>
      </c>
      <c r="I68" s="12">
        <f t="shared" si="19"/>
        <v>0</v>
      </c>
      <c r="J68" s="12">
        <f t="shared" si="20"/>
        <v>0</v>
      </c>
      <c r="K68" s="15">
        <f t="shared" si="21"/>
        <v>0</v>
      </c>
      <c r="L68" s="15">
        <f t="shared" si="22"/>
        <v>0</v>
      </c>
      <c r="M68" s="15">
        <f t="shared" si="23"/>
        <v>0</v>
      </c>
    </row>
    <row r="69" spans="1:13" x14ac:dyDescent="0.25">
      <c r="A69" s="11" t="s">
        <v>83</v>
      </c>
      <c r="E69" s="5">
        <f t="shared" si="15"/>
        <v>0</v>
      </c>
      <c r="F69" s="5">
        <f t="shared" si="16"/>
        <v>0</v>
      </c>
      <c r="G69" s="5">
        <f t="shared" si="17"/>
        <v>0</v>
      </c>
      <c r="H69" s="12">
        <f t="shared" si="18"/>
        <v>20</v>
      </c>
      <c r="I69" s="12">
        <f t="shared" si="19"/>
        <v>0</v>
      </c>
      <c r="J69" s="12">
        <f t="shared" si="20"/>
        <v>30</v>
      </c>
      <c r="K69" s="15">
        <f t="shared" si="21"/>
        <v>0</v>
      </c>
      <c r="L69" s="15">
        <f t="shared" si="22"/>
        <v>0</v>
      </c>
      <c r="M69" s="15">
        <f t="shared" si="23"/>
        <v>0</v>
      </c>
    </row>
    <row r="70" spans="1:13" x14ac:dyDescent="0.25">
      <c r="A70" s="11" t="s">
        <v>84</v>
      </c>
      <c r="E70" s="5">
        <f t="shared" si="15"/>
        <v>0</v>
      </c>
      <c r="F70" s="5">
        <f t="shared" si="16"/>
        <v>0</v>
      </c>
      <c r="G70" s="5">
        <f t="shared" si="17"/>
        <v>0</v>
      </c>
      <c r="H70" s="12">
        <f t="shared" si="18"/>
        <v>20</v>
      </c>
      <c r="I70" s="12">
        <f t="shared" si="19"/>
        <v>0</v>
      </c>
      <c r="J70" s="12">
        <f t="shared" si="20"/>
        <v>0</v>
      </c>
      <c r="K70" s="15">
        <f t="shared" si="21"/>
        <v>0</v>
      </c>
      <c r="L70" s="15">
        <f t="shared" si="22"/>
        <v>0</v>
      </c>
      <c r="M70" s="15">
        <f t="shared" si="23"/>
        <v>0</v>
      </c>
    </row>
    <row r="71" spans="1:13" x14ac:dyDescent="0.25">
      <c r="A71" s="11" t="s">
        <v>85</v>
      </c>
      <c r="E71" s="5">
        <f t="shared" si="15"/>
        <v>0</v>
      </c>
      <c r="F71" s="5">
        <f t="shared" si="16"/>
        <v>0</v>
      </c>
      <c r="G71" s="5">
        <f t="shared" si="17"/>
        <v>0</v>
      </c>
      <c r="H71" s="12">
        <f t="shared" si="18"/>
        <v>20</v>
      </c>
      <c r="I71" s="12">
        <f t="shared" si="19"/>
        <v>25</v>
      </c>
      <c r="J71" s="12">
        <f t="shared" si="20"/>
        <v>30</v>
      </c>
      <c r="K71" s="15">
        <f t="shared" si="21"/>
        <v>0</v>
      </c>
      <c r="L71" s="15">
        <f t="shared" si="22"/>
        <v>0</v>
      </c>
      <c r="M71" s="15">
        <f t="shared" si="23"/>
        <v>0</v>
      </c>
    </row>
    <row r="72" spans="1:13" x14ac:dyDescent="0.25">
      <c r="A72" s="11" t="s">
        <v>86</v>
      </c>
      <c r="E72" s="5">
        <f t="shared" si="15"/>
        <v>0</v>
      </c>
      <c r="F72" s="5">
        <f t="shared" si="16"/>
        <v>0</v>
      </c>
      <c r="G72" s="5">
        <f t="shared" si="17"/>
        <v>0</v>
      </c>
      <c r="H72" s="12">
        <f t="shared" si="18"/>
        <v>20</v>
      </c>
      <c r="I72" s="12">
        <f t="shared" si="19"/>
        <v>0</v>
      </c>
      <c r="J72" s="12">
        <f t="shared" si="20"/>
        <v>0</v>
      </c>
      <c r="K72" s="15">
        <f t="shared" si="21"/>
        <v>0</v>
      </c>
      <c r="L72" s="15">
        <f t="shared" si="22"/>
        <v>0</v>
      </c>
      <c r="M72" s="15">
        <f t="shared" si="23"/>
        <v>0</v>
      </c>
    </row>
    <row r="73" spans="1:13" x14ac:dyDescent="0.25">
      <c r="A73" s="11" t="s">
        <v>87</v>
      </c>
      <c r="E73" s="5">
        <f t="shared" si="15"/>
        <v>0</v>
      </c>
      <c r="F73" s="5">
        <f t="shared" si="16"/>
        <v>0</v>
      </c>
      <c r="G73" s="5">
        <f t="shared" si="17"/>
        <v>0</v>
      </c>
      <c r="H73" s="12">
        <f t="shared" si="18"/>
        <v>0</v>
      </c>
      <c r="I73" s="12">
        <f t="shared" si="19"/>
        <v>25</v>
      </c>
      <c r="J73" s="12">
        <f t="shared" si="20"/>
        <v>0</v>
      </c>
      <c r="K73" s="15">
        <f t="shared" si="21"/>
        <v>0</v>
      </c>
      <c r="L73" s="15">
        <f t="shared" si="22"/>
        <v>0</v>
      </c>
      <c r="M73" s="15">
        <f t="shared" si="23"/>
        <v>0</v>
      </c>
    </row>
    <row r="74" spans="1:13" x14ac:dyDescent="0.25">
      <c r="A74" s="11" t="s">
        <v>88</v>
      </c>
      <c r="E74" s="5">
        <f t="shared" si="15"/>
        <v>0</v>
      </c>
      <c r="F74" s="5">
        <f t="shared" si="16"/>
        <v>0</v>
      </c>
      <c r="G74" s="5">
        <f t="shared" si="17"/>
        <v>0</v>
      </c>
      <c r="H74" s="12">
        <f t="shared" si="18"/>
        <v>0</v>
      </c>
      <c r="I74" s="12">
        <f t="shared" si="19"/>
        <v>25</v>
      </c>
      <c r="J74" s="12">
        <f t="shared" si="20"/>
        <v>0</v>
      </c>
      <c r="K74" s="15">
        <f t="shared" si="21"/>
        <v>0</v>
      </c>
      <c r="L74" s="15">
        <f t="shared" si="22"/>
        <v>25</v>
      </c>
      <c r="M74" s="15">
        <f t="shared" si="23"/>
        <v>0</v>
      </c>
    </row>
    <row r="75" spans="1:13" x14ac:dyDescent="0.25">
      <c r="A75" s="14" t="s">
        <v>90</v>
      </c>
      <c r="E75" s="5">
        <f t="shared" si="15"/>
        <v>0</v>
      </c>
      <c r="F75" s="5">
        <f t="shared" si="16"/>
        <v>0</v>
      </c>
      <c r="G75" s="5">
        <f t="shared" si="17"/>
        <v>0</v>
      </c>
      <c r="H75" s="12">
        <f t="shared" si="18"/>
        <v>0</v>
      </c>
      <c r="I75" s="12">
        <f t="shared" si="19"/>
        <v>0</v>
      </c>
      <c r="J75" s="12">
        <f t="shared" si="20"/>
        <v>0</v>
      </c>
      <c r="K75" s="15">
        <f t="shared" si="21"/>
        <v>20</v>
      </c>
      <c r="L75" s="15">
        <f t="shared" si="22"/>
        <v>25</v>
      </c>
      <c r="M75" s="15">
        <f t="shared" si="23"/>
        <v>30</v>
      </c>
    </row>
    <row r="76" spans="1:13" x14ac:dyDescent="0.25">
      <c r="A76" s="14" t="s">
        <v>91</v>
      </c>
      <c r="E76" s="5">
        <f t="shared" si="15"/>
        <v>0</v>
      </c>
      <c r="F76" s="5">
        <f t="shared" si="16"/>
        <v>0</v>
      </c>
      <c r="G76" s="5">
        <f t="shared" si="17"/>
        <v>0</v>
      </c>
      <c r="H76" s="12">
        <f t="shared" si="18"/>
        <v>0</v>
      </c>
      <c r="I76" s="12">
        <f t="shared" si="19"/>
        <v>0</v>
      </c>
      <c r="J76" s="12">
        <f t="shared" si="20"/>
        <v>0</v>
      </c>
      <c r="K76" s="15">
        <f t="shared" si="21"/>
        <v>20</v>
      </c>
      <c r="L76" s="15">
        <f t="shared" si="22"/>
        <v>0</v>
      </c>
      <c r="M76" s="15">
        <f t="shared" si="23"/>
        <v>0</v>
      </c>
    </row>
    <row r="77" spans="1:13" x14ac:dyDescent="0.25">
      <c r="A77" s="14" t="s">
        <v>92</v>
      </c>
      <c r="E77" s="5">
        <f t="shared" si="15"/>
        <v>0</v>
      </c>
      <c r="F77" s="5">
        <f t="shared" si="16"/>
        <v>0</v>
      </c>
      <c r="G77" s="5">
        <f t="shared" si="17"/>
        <v>0</v>
      </c>
      <c r="H77" s="12">
        <f t="shared" si="18"/>
        <v>0</v>
      </c>
      <c r="I77" s="12">
        <f t="shared" si="19"/>
        <v>0</v>
      </c>
      <c r="J77" s="12">
        <f t="shared" si="20"/>
        <v>0</v>
      </c>
      <c r="K77" s="15">
        <f t="shared" si="21"/>
        <v>20</v>
      </c>
      <c r="L77" s="15">
        <f t="shared" si="22"/>
        <v>25</v>
      </c>
      <c r="M77" s="15">
        <f t="shared" si="23"/>
        <v>30</v>
      </c>
    </row>
    <row r="78" spans="1:13" x14ac:dyDescent="0.25">
      <c r="A78" s="14" t="s">
        <v>93</v>
      </c>
      <c r="E78" s="5">
        <f t="shared" si="15"/>
        <v>0</v>
      </c>
      <c r="F78" s="5">
        <f t="shared" si="16"/>
        <v>0</v>
      </c>
      <c r="G78" s="5">
        <f t="shared" si="17"/>
        <v>0</v>
      </c>
      <c r="H78" s="12">
        <f t="shared" si="18"/>
        <v>0</v>
      </c>
      <c r="I78" s="12">
        <f t="shared" si="19"/>
        <v>0</v>
      </c>
      <c r="J78" s="12">
        <f t="shared" si="20"/>
        <v>0</v>
      </c>
      <c r="K78" s="15">
        <f t="shared" si="21"/>
        <v>20</v>
      </c>
      <c r="L78" s="15">
        <f t="shared" si="22"/>
        <v>25</v>
      </c>
      <c r="M78" s="15">
        <f t="shared" si="23"/>
        <v>30</v>
      </c>
    </row>
    <row r="79" spans="1:13" x14ac:dyDescent="0.25">
      <c r="A79" s="14" t="s">
        <v>94</v>
      </c>
      <c r="E79" s="5">
        <f t="shared" si="15"/>
        <v>0</v>
      </c>
      <c r="F79" s="5">
        <f t="shared" si="16"/>
        <v>0</v>
      </c>
      <c r="G79" s="5">
        <f t="shared" si="17"/>
        <v>0</v>
      </c>
      <c r="H79" s="12">
        <f t="shared" si="18"/>
        <v>0</v>
      </c>
      <c r="I79" s="12">
        <f t="shared" si="19"/>
        <v>0</v>
      </c>
      <c r="J79" s="12">
        <f t="shared" si="20"/>
        <v>0</v>
      </c>
      <c r="K79" s="15">
        <f t="shared" si="21"/>
        <v>20</v>
      </c>
      <c r="L79" s="15">
        <f t="shared" si="22"/>
        <v>25</v>
      </c>
      <c r="M79" s="15">
        <f t="shared" si="23"/>
        <v>30</v>
      </c>
    </row>
    <row r="80" spans="1:13" x14ac:dyDescent="0.25">
      <c r="A80" s="14" t="s">
        <v>95</v>
      </c>
      <c r="E80" s="5">
        <f t="shared" si="15"/>
        <v>0</v>
      </c>
      <c r="F80" s="5">
        <f t="shared" si="16"/>
        <v>0</v>
      </c>
      <c r="G80" s="5">
        <f t="shared" si="17"/>
        <v>0</v>
      </c>
      <c r="H80" s="12">
        <f t="shared" si="18"/>
        <v>0</v>
      </c>
      <c r="I80" s="12">
        <f t="shared" si="19"/>
        <v>0</v>
      </c>
      <c r="J80" s="12">
        <f t="shared" si="20"/>
        <v>0</v>
      </c>
      <c r="K80" s="15">
        <f t="shared" si="21"/>
        <v>20</v>
      </c>
      <c r="L80" s="15">
        <f t="shared" si="22"/>
        <v>0</v>
      </c>
      <c r="M80" s="15">
        <f t="shared" si="23"/>
        <v>30</v>
      </c>
    </row>
    <row r="81" spans="1:13" x14ac:dyDescent="0.25">
      <c r="A81" s="14" t="s">
        <v>96</v>
      </c>
      <c r="E81" s="5">
        <f t="shared" si="15"/>
        <v>0</v>
      </c>
      <c r="F81" s="5">
        <f t="shared" si="16"/>
        <v>0</v>
      </c>
      <c r="G81" s="5">
        <f t="shared" si="17"/>
        <v>0</v>
      </c>
      <c r="H81" s="12">
        <f t="shared" si="18"/>
        <v>0</v>
      </c>
      <c r="I81" s="12">
        <f t="shared" si="19"/>
        <v>0</v>
      </c>
      <c r="J81" s="12">
        <f t="shared" si="20"/>
        <v>0</v>
      </c>
      <c r="K81" s="15">
        <f t="shared" si="21"/>
        <v>0</v>
      </c>
      <c r="L81" s="15">
        <f t="shared" si="22"/>
        <v>25</v>
      </c>
      <c r="M81" s="15">
        <f t="shared" si="23"/>
        <v>0</v>
      </c>
    </row>
    <row r="82" spans="1:13" x14ac:dyDescent="0.25">
      <c r="A82" s="14" t="s">
        <v>98</v>
      </c>
      <c r="E82" s="5">
        <f t="shared" si="15"/>
        <v>0</v>
      </c>
      <c r="F82" s="5">
        <f t="shared" si="16"/>
        <v>0</v>
      </c>
      <c r="G82" s="5">
        <f t="shared" si="17"/>
        <v>0</v>
      </c>
      <c r="H82" s="12">
        <f t="shared" si="18"/>
        <v>0</v>
      </c>
      <c r="I82" s="12">
        <f t="shared" si="19"/>
        <v>0</v>
      </c>
      <c r="J82" s="12">
        <f t="shared" si="20"/>
        <v>0</v>
      </c>
      <c r="K82" s="15">
        <f t="shared" si="21"/>
        <v>0</v>
      </c>
      <c r="L82" s="15">
        <f t="shared" si="22"/>
        <v>25</v>
      </c>
      <c r="M82" s="15">
        <f t="shared" si="23"/>
        <v>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B31519-2F7F-491F-95A7-9619BE02C42A}">
  <sheetPr>
    <pageSetUpPr fitToPage="1"/>
  </sheetPr>
  <dimension ref="A1:P79"/>
  <sheetViews>
    <sheetView tabSelected="1" zoomScale="85" zoomScaleNormal="85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E81" sqref="E81"/>
    </sheetView>
  </sheetViews>
  <sheetFormatPr defaultRowHeight="15" x14ac:dyDescent="0.25"/>
  <cols>
    <col min="1" max="1" width="80.140625" customWidth="1"/>
    <col min="2" max="5" width="9.140625" style="45"/>
    <col min="6" max="7" width="10.140625" style="45" bestFit="1" customWidth="1"/>
    <col min="8" max="10" width="10" style="45" bestFit="1" customWidth="1"/>
    <col min="11" max="13" width="9.140625" style="45"/>
    <col min="14" max="14" width="15.7109375" bestFit="1" customWidth="1"/>
    <col min="16" max="16" width="18" bestFit="1" customWidth="1"/>
  </cols>
  <sheetData>
    <row r="1" spans="1:16" x14ac:dyDescent="0.25">
      <c r="A1" s="16" t="s">
        <v>12</v>
      </c>
      <c r="B1" s="43" t="s">
        <v>0</v>
      </c>
      <c r="C1" s="43" t="s">
        <v>1</v>
      </c>
      <c r="D1" s="43" t="s">
        <v>2</v>
      </c>
      <c r="E1" s="43" t="s">
        <v>3</v>
      </c>
      <c r="F1" s="43" t="s">
        <v>4</v>
      </c>
      <c r="G1" s="43" t="s">
        <v>5</v>
      </c>
      <c r="H1" s="43" t="s">
        <v>6</v>
      </c>
      <c r="I1" s="43" t="s">
        <v>7</v>
      </c>
      <c r="J1" s="43" t="s">
        <v>8</v>
      </c>
      <c r="K1" s="43" t="s">
        <v>9</v>
      </c>
      <c r="L1" s="43" t="s">
        <v>10</v>
      </c>
      <c r="M1" s="43" t="s">
        <v>11</v>
      </c>
      <c r="N1" s="25" t="s">
        <v>102</v>
      </c>
      <c r="P1" s="48" t="s">
        <v>152</v>
      </c>
    </row>
    <row r="2" spans="1:16" x14ac:dyDescent="0.25">
      <c r="A2" s="29" t="s">
        <v>84</v>
      </c>
      <c r="B2" s="44">
        <v>1</v>
      </c>
      <c r="C2" s="42">
        <v>0</v>
      </c>
      <c r="D2" s="42">
        <v>0</v>
      </c>
      <c r="E2" s="44">
        <v>1</v>
      </c>
      <c r="F2" s="42">
        <v>0</v>
      </c>
      <c r="G2" s="42">
        <v>0</v>
      </c>
      <c r="H2" s="44">
        <v>1</v>
      </c>
      <c r="I2" s="42">
        <v>0</v>
      </c>
      <c r="J2" s="42">
        <v>0</v>
      </c>
      <c r="K2" s="44">
        <v>1</v>
      </c>
      <c r="L2" s="42">
        <v>0</v>
      </c>
      <c r="M2" s="42">
        <v>0</v>
      </c>
      <c r="N2" s="3" t="s">
        <v>99</v>
      </c>
      <c r="P2" t="s">
        <v>108</v>
      </c>
    </row>
    <row r="3" spans="1:16" x14ac:dyDescent="0.25">
      <c r="A3" s="30" t="s">
        <v>21</v>
      </c>
      <c r="B3" s="42">
        <v>0</v>
      </c>
      <c r="C3" s="44">
        <v>1</v>
      </c>
      <c r="D3" s="44">
        <v>1</v>
      </c>
      <c r="E3" s="42">
        <v>0</v>
      </c>
      <c r="F3" s="44">
        <v>1</v>
      </c>
      <c r="G3" s="44">
        <v>1</v>
      </c>
      <c r="H3" s="47">
        <v>0</v>
      </c>
      <c r="I3" s="44">
        <v>1</v>
      </c>
      <c r="J3" s="44">
        <v>1</v>
      </c>
      <c r="K3" s="42">
        <v>0</v>
      </c>
      <c r="L3" s="44">
        <v>1</v>
      </c>
      <c r="M3" s="44">
        <v>1</v>
      </c>
      <c r="N3" s="5" t="s">
        <v>100</v>
      </c>
      <c r="P3" t="s">
        <v>109</v>
      </c>
    </row>
    <row r="4" spans="1:16" x14ac:dyDescent="0.25">
      <c r="A4" s="27" t="s">
        <v>75</v>
      </c>
      <c r="B4" s="44">
        <v>1</v>
      </c>
      <c r="C4" s="44">
        <v>1</v>
      </c>
      <c r="D4" s="44">
        <v>1</v>
      </c>
      <c r="E4" s="44">
        <v>1</v>
      </c>
      <c r="F4" s="44">
        <v>1</v>
      </c>
      <c r="G4" s="44">
        <v>1</v>
      </c>
      <c r="H4" s="44">
        <v>1</v>
      </c>
      <c r="I4" s="44">
        <v>1</v>
      </c>
      <c r="J4" s="44">
        <v>1</v>
      </c>
      <c r="K4" s="44">
        <v>1</v>
      </c>
      <c r="L4" s="44">
        <v>1</v>
      </c>
      <c r="M4" s="44">
        <v>1</v>
      </c>
      <c r="N4" s="33" t="s">
        <v>104</v>
      </c>
      <c r="P4" t="s">
        <v>110</v>
      </c>
    </row>
    <row r="5" spans="1:16" x14ac:dyDescent="0.25">
      <c r="A5" s="32" t="s">
        <v>43</v>
      </c>
      <c r="B5" s="44">
        <v>1</v>
      </c>
      <c r="C5" s="44">
        <v>1</v>
      </c>
      <c r="D5" s="44">
        <v>1</v>
      </c>
      <c r="E5" s="44">
        <v>1</v>
      </c>
      <c r="F5" s="44">
        <v>1</v>
      </c>
      <c r="G5" s="44">
        <v>1</v>
      </c>
      <c r="H5" s="44">
        <v>1</v>
      </c>
      <c r="I5" s="44">
        <v>1</v>
      </c>
      <c r="J5" s="44">
        <v>1</v>
      </c>
      <c r="K5" s="44">
        <v>1</v>
      </c>
      <c r="L5" s="44">
        <v>1</v>
      </c>
      <c r="M5" s="44">
        <v>1</v>
      </c>
      <c r="N5" s="41" t="s">
        <v>107</v>
      </c>
      <c r="P5" t="s">
        <v>111</v>
      </c>
    </row>
    <row r="6" spans="1:16" x14ac:dyDescent="0.25">
      <c r="A6" s="21" t="s">
        <v>71</v>
      </c>
      <c r="B6" s="42">
        <v>0</v>
      </c>
      <c r="C6" s="42">
        <v>0</v>
      </c>
      <c r="D6" s="42">
        <v>0</v>
      </c>
      <c r="E6" s="42">
        <v>0</v>
      </c>
      <c r="F6" s="42">
        <v>0</v>
      </c>
      <c r="G6" s="42">
        <v>0</v>
      </c>
      <c r="H6" s="42">
        <v>0</v>
      </c>
      <c r="I6" s="42">
        <v>0</v>
      </c>
      <c r="J6" s="42">
        <v>0</v>
      </c>
      <c r="K6" s="42">
        <v>0</v>
      </c>
      <c r="L6" s="42">
        <v>0</v>
      </c>
      <c r="M6" s="42">
        <v>0</v>
      </c>
    </row>
    <row r="7" spans="1:16" x14ac:dyDescent="0.25">
      <c r="A7" s="31" t="s">
        <v>92</v>
      </c>
      <c r="B7" s="42">
        <v>0</v>
      </c>
      <c r="C7" s="42">
        <v>0</v>
      </c>
      <c r="D7" s="42">
        <v>0</v>
      </c>
      <c r="E7" s="44">
        <v>1</v>
      </c>
      <c r="F7" s="44">
        <v>1</v>
      </c>
      <c r="G7" s="44">
        <v>1</v>
      </c>
      <c r="H7" s="42">
        <v>0</v>
      </c>
      <c r="I7" s="42">
        <v>0</v>
      </c>
      <c r="J7" s="42">
        <v>0</v>
      </c>
      <c r="K7" s="44">
        <v>1</v>
      </c>
      <c r="L7" s="44">
        <v>1</v>
      </c>
      <c r="M7" s="44">
        <v>1</v>
      </c>
      <c r="P7" t="s">
        <v>141</v>
      </c>
    </row>
    <row r="8" spans="1:16" x14ac:dyDescent="0.25">
      <c r="A8" s="31" t="s">
        <v>93</v>
      </c>
      <c r="B8" s="42">
        <v>0</v>
      </c>
      <c r="C8" s="42">
        <v>0</v>
      </c>
      <c r="D8" s="42">
        <v>0</v>
      </c>
      <c r="E8" s="44">
        <v>1</v>
      </c>
      <c r="F8" s="44">
        <v>1</v>
      </c>
      <c r="G8" s="44">
        <v>1</v>
      </c>
      <c r="H8" s="42">
        <v>0</v>
      </c>
      <c r="I8" s="42">
        <v>0</v>
      </c>
      <c r="J8" s="42">
        <v>0</v>
      </c>
      <c r="K8" s="44">
        <v>1</v>
      </c>
      <c r="L8" s="44">
        <v>1</v>
      </c>
      <c r="M8" s="44">
        <v>1</v>
      </c>
      <c r="P8" t="s">
        <v>142</v>
      </c>
    </row>
    <row r="9" spans="1:16" x14ac:dyDescent="0.25">
      <c r="A9" s="27" t="s">
        <v>72</v>
      </c>
      <c r="B9" s="42">
        <v>0</v>
      </c>
      <c r="C9" s="42">
        <v>0</v>
      </c>
      <c r="D9" s="42">
        <v>0</v>
      </c>
      <c r="E9" s="44">
        <v>1</v>
      </c>
      <c r="F9" s="44">
        <v>1</v>
      </c>
      <c r="G9" s="44">
        <v>1</v>
      </c>
      <c r="H9" s="42">
        <v>0</v>
      </c>
      <c r="I9" s="42">
        <v>0</v>
      </c>
      <c r="J9" s="42">
        <v>0</v>
      </c>
      <c r="K9" s="44">
        <v>1</v>
      </c>
      <c r="L9" s="44">
        <v>1</v>
      </c>
      <c r="M9" s="44">
        <v>1</v>
      </c>
      <c r="P9" t="s">
        <v>143</v>
      </c>
    </row>
    <row r="10" spans="1:16" x14ac:dyDescent="0.25">
      <c r="A10" s="27" t="s">
        <v>77</v>
      </c>
      <c r="B10" s="42">
        <v>0</v>
      </c>
      <c r="C10" s="42">
        <v>0</v>
      </c>
      <c r="D10" s="42">
        <v>0</v>
      </c>
      <c r="E10" s="42">
        <v>0</v>
      </c>
      <c r="F10" s="44">
        <v>1</v>
      </c>
      <c r="G10" s="44">
        <v>1</v>
      </c>
      <c r="H10" s="42">
        <v>0</v>
      </c>
      <c r="I10" s="42">
        <v>0</v>
      </c>
      <c r="J10" s="42">
        <v>0</v>
      </c>
      <c r="K10" s="42">
        <v>0</v>
      </c>
      <c r="L10" s="44">
        <v>1</v>
      </c>
      <c r="M10" s="44">
        <v>1</v>
      </c>
      <c r="P10" t="s">
        <v>144</v>
      </c>
    </row>
    <row r="11" spans="1:16" x14ac:dyDescent="0.25">
      <c r="A11" s="27" t="s">
        <v>73</v>
      </c>
      <c r="B11" s="42">
        <v>0</v>
      </c>
      <c r="C11" s="42">
        <v>0</v>
      </c>
      <c r="D11" s="42">
        <v>0</v>
      </c>
      <c r="E11" s="42">
        <v>0</v>
      </c>
      <c r="F11" s="44">
        <v>1</v>
      </c>
      <c r="G11" s="44">
        <v>1</v>
      </c>
      <c r="H11" s="42">
        <v>0</v>
      </c>
      <c r="I11" s="42">
        <v>0</v>
      </c>
      <c r="J11" s="42">
        <v>0</v>
      </c>
      <c r="K11" s="42">
        <v>0</v>
      </c>
      <c r="L11" s="44">
        <v>1</v>
      </c>
      <c r="M11" s="44">
        <v>1</v>
      </c>
      <c r="P11" t="s">
        <v>145</v>
      </c>
    </row>
    <row r="12" spans="1:16" x14ac:dyDescent="0.25">
      <c r="A12" s="27" t="s">
        <v>78</v>
      </c>
      <c r="B12" s="42">
        <v>0</v>
      </c>
      <c r="C12" s="42">
        <v>0</v>
      </c>
      <c r="D12" s="42">
        <v>0</v>
      </c>
      <c r="E12" s="42">
        <v>0</v>
      </c>
      <c r="F12" s="44">
        <v>1</v>
      </c>
      <c r="G12" s="44">
        <v>1</v>
      </c>
      <c r="H12" s="42">
        <v>0</v>
      </c>
      <c r="I12" s="42">
        <v>0</v>
      </c>
      <c r="J12" s="42">
        <v>0</v>
      </c>
      <c r="K12" s="42">
        <v>0</v>
      </c>
      <c r="L12" s="44">
        <v>1</v>
      </c>
      <c r="M12" s="44">
        <v>1</v>
      </c>
      <c r="P12" t="s">
        <v>146</v>
      </c>
    </row>
    <row r="13" spans="1:16" x14ac:dyDescent="0.25">
      <c r="A13" s="27" t="s">
        <v>79</v>
      </c>
      <c r="B13" s="42">
        <v>0</v>
      </c>
      <c r="C13" s="42">
        <v>0</v>
      </c>
      <c r="D13" s="42">
        <v>0</v>
      </c>
      <c r="E13" s="42">
        <v>0</v>
      </c>
      <c r="F13" s="44">
        <v>1</v>
      </c>
      <c r="G13" s="44">
        <v>1</v>
      </c>
      <c r="H13" s="42">
        <v>0</v>
      </c>
      <c r="I13" s="42">
        <v>0</v>
      </c>
      <c r="J13" s="42">
        <v>0</v>
      </c>
      <c r="K13" s="42">
        <v>0</v>
      </c>
      <c r="L13" s="44">
        <v>1</v>
      </c>
      <c r="M13" s="44">
        <v>1</v>
      </c>
      <c r="P13" t="s">
        <v>147</v>
      </c>
    </row>
    <row r="14" spans="1:16" x14ac:dyDescent="0.25">
      <c r="A14" s="27" t="s">
        <v>80</v>
      </c>
      <c r="B14" s="42">
        <v>0</v>
      </c>
      <c r="C14" s="42">
        <v>0</v>
      </c>
      <c r="D14" s="42">
        <v>0</v>
      </c>
      <c r="E14" s="42">
        <v>0</v>
      </c>
      <c r="F14" s="44">
        <v>1</v>
      </c>
      <c r="G14" s="44">
        <v>1</v>
      </c>
      <c r="H14" s="42">
        <v>0</v>
      </c>
      <c r="I14" s="42">
        <v>0</v>
      </c>
      <c r="J14" s="42">
        <v>0</v>
      </c>
      <c r="K14" s="42">
        <v>0</v>
      </c>
      <c r="L14" s="44">
        <v>1</v>
      </c>
      <c r="M14" s="44">
        <v>1</v>
      </c>
      <c r="P14" t="s">
        <v>148</v>
      </c>
    </row>
    <row r="15" spans="1:16" x14ac:dyDescent="0.25">
      <c r="A15" s="24" t="s">
        <v>44</v>
      </c>
      <c r="B15" s="42">
        <v>0</v>
      </c>
      <c r="C15" s="42">
        <v>0</v>
      </c>
      <c r="D15" s="42">
        <v>0</v>
      </c>
      <c r="E15" s="42">
        <v>0</v>
      </c>
      <c r="F15" s="42">
        <v>0</v>
      </c>
      <c r="G15" s="42">
        <v>0</v>
      </c>
      <c r="H15" s="42">
        <v>0</v>
      </c>
      <c r="I15" s="42">
        <v>0</v>
      </c>
      <c r="J15" s="42">
        <v>0</v>
      </c>
      <c r="K15" s="42">
        <v>0</v>
      </c>
      <c r="L15" s="42">
        <v>0</v>
      </c>
      <c r="M15" s="42">
        <v>0</v>
      </c>
    </row>
    <row r="16" spans="1:16" x14ac:dyDescent="0.25">
      <c r="A16" s="32" t="s">
        <v>47</v>
      </c>
      <c r="B16" s="42">
        <v>0</v>
      </c>
      <c r="C16" s="44">
        <v>1</v>
      </c>
      <c r="D16" s="44">
        <v>1</v>
      </c>
      <c r="E16" s="42">
        <v>0</v>
      </c>
      <c r="F16" s="44">
        <v>1</v>
      </c>
      <c r="G16" s="44">
        <v>1</v>
      </c>
      <c r="H16" s="42">
        <v>0</v>
      </c>
      <c r="I16" s="44">
        <v>1</v>
      </c>
      <c r="J16" s="44">
        <v>1</v>
      </c>
      <c r="K16" s="42">
        <v>0</v>
      </c>
      <c r="L16" s="44">
        <v>1</v>
      </c>
      <c r="M16" s="44">
        <v>1</v>
      </c>
      <c r="P16" t="s">
        <v>149</v>
      </c>
    </row>
    <row r="17" spans="1:16" x14ac:dyDescent="0.25">
      <c r="A17" s="32" t="s">
        <v>48</v>
      </c>
      <c r="B17" s="42">
        <v>0</v>
      </c>
      <c r="C17" s="44">
        <v>1</v>
      </c>
      <c r="D17" s="44">
        <v>1</v>
      </c>
      <c r="E17" s="42">
        <v>0</v>
      </c>
      <c r="F17" s="44">
        <v>1</v>
      </c>
      <c r="G17" s="44">
        <v>1</v>
      </c>
      <c r="H17" s="42">
        <v>0</v>
      </c>
      <c r="I17" s="44">
        <v>1</v>
      </c>
      <c r="J17" s="44">
        <v>1</v>
      </c>
      <c r="K17" s="42">
        <v>0</v>
      </c>
      <c r="L17" s="44">
        <v>1</v>
      </c>
      <c r="M17" s="44">
        <v>1</v>
      </c>
      <c r="P17" t="s">
        <v>150</v>
      </c>
    </row>
    <row r="18" spans="1:16" x14ac:dyDescent="0.25">
      <c r="A18" s="32" t="s">
        <v>49</v>
      </c>
      <c r="B18" s="44">
        <v>1</v>
      </c>
      <c r="C18" s="44">
        <v>1</v>
      </c>
      <c r="D18" s="44">
        <v>1</v>
      </c>
      <c r="E18" s="44">
        <v>1</v>
      </c>
      <c r="F18" s="44">
        <v>1</v>
      </c>
      <c r="G18" s="44">
        <v>1</v>
      </c>
      <c r="H18" s="44">
        <v>1</v>
      </c>
      <c r="I18" s="44">
        <v>1</v>
      </c>
      <c r="J18" s="44">
        <v>1</v>
      </c>
      <c r="K18" s="44">
        <v>1</v>
      </c>
      <c r="L18" s="44">
        <v>1</v>
      </c>
      <c r="M18" s="44">
        <v>1</v>
      </c>
      <c r="P18" t="s">
        <v>112</v>
      </c>
    </row>
    <row r="19" spans="1:16" x14ac:dyDescent="0.25">
      <c r="A19" s="32" t="s">
        <v>50</v>
      </c>
      <c r="B19" s="44">
        <v>1</v>
      </c>
      <c r="C19" s="44">
        <v>1</v>
      </c>
      <c r="D19" s="44">
        <v>1</v>
      </c>
      <c r="E19" s="44">
        <v>1</v>
      </c>
      <c r="F19" s="44">
        <v>1</v>
      </c>
      <c r="G19" s="44">
        <v>1</v>
      </c>
      <c r="H19" s="44">
        <v>1</v>
      </c>
      <c r="I19" s="44">
        <v>1</v>
      </c>
      <c r="J19" s="44">
        <v>1</v>
      </c>
      <c r="K19" s="44">
        <v>1</v>
      </c>
      <c r="L19" s="44">
        <v>1</v>
      </c>
      <c r="M19" s="44">
        <v>1</v>
      </c>
      <c r="P19" t="s">
        <v>113</v>
      </c>
    </row>
    <row r="20" spans="1:16" x14ac:dyDescent="0.25">
      <c r="A20" s="29" t="s">
        <v>85</v>
      </c>
      <c r="B20" s="42">
        <v>0</v>
      </c>
      <c r="C20" s="42">
        <v>0</v>
      </c>
      <c r="D20" s="42">
        <v>0</v>
      </c>
      <c r="E20" s="42">
        <v>0</v>
      </c>
      <c r="F20" s="42">
        <v>0</v>
      </c>
      <c r="G20" s="42">
        <v>0</v>
      </c>
      <c r="H20" s="44">
        <v>1</v>
      </c>
      <c r="I20" s="44">
        <v>1</v>
      </c>
      <c r="J20" s="44">
        <v>1</v>
      </c>
      <c r="K20" s="42">
        <v>0</v>
      </c>
      <c r="L20" s="42">
        <v>0</v>
      </c>
      <c r="M20" s="42">
        <v>0</v>
      </c>
      <c r="P20" t="s">
        <v>164</v>
      </c>
    </row>
    <row r="21" spans="1:16" x14ac:dyDescent="0.25">
      <c r="A21" s="29" t="s">
        <v>89</v>
      </c>
      <c r="B21" s="42">
        <v>0</v>
      </c>
      <c r="C21" s="42">
        <v>0</v>
      </c>
      <c r="D21" s="42">
        <v>0</v>
      </c>
      <c r="E21" s="44">
        <v>1</v>
      </c>
      <c r="F21" s="44">
        <v>1</v>
      </c>
      <c r="G21" s="44">
        <v>1</v>
      </c>
      <c r="H21" s="42">
        <v>0</v>
      </c>
      <c r="I21" s="42">
        <v>0</v>
      </c>
      <c r="J21" s="42">
        <v>0</v>
      </c>
      <c r="K21" s="44">
        <v>1</v>
      </c>
      <c r="L21" s="44">
        <v>1</v>
      </c>
      <c r="M21" s="44">
        <v>1</v>
      </c>
      <c r="P21" t="s">
        <v>151</v>
      </c>
    </row>
    <row r="22" spans="1:16" x14ac:dyDescent="0.25">
      <c r="A22" s="32" t="s">
        <v>51</v>
      </c>
      <c r="B22" s="44">
        <v>1</v>
      </c>
      <c r="C22" s="44">
        <v>1</v>
      </c>
      <c r="D22" s="44">
        <v>1</v>
      </c>
      <c r="E22" s="44">
        <v>1</v>
      </c>
      <c r="F22" s="44">
        <v>1</v>
      </c>
      <c r="G22" s="44">
        <v>1</v>
      </c>
      <c r="H22" s="42">
        <v>0</v>
      </c>
      <c r="I22" s="42">
        <v>0</v>
      </c>
      <c r="J22" s="42">
        <v>0</v>
      </c>
      <c r="K22" s="42">
        <v>0</v>
      </c>
      <c r="L22" s="42">
        <v>0</v>
      </c>
      <c r="M22" s="42">
        <v>0</v>
      </c>
      <c r="P22" t="s">
        <v>116</v>
      </c>
    </row>
    <row r="23" spans="1:16" x14ac:dyDescent="0.25">
      <c r="A23" s="30" t="s">
        <v>22</v>
      </c>
      <c r="B23" s="44">
        <v>1</v>
      </c>
      <c r="C23" s="44">
        <v>1</v>
      </c>
      <c r="D23" s="44">
        <v>1</v>
      </c>
      <c r="E23" s="44">
        <v>1</v>
      </c>
      <c r="F23" s="44">
        <v>1</v>
      </c>
      <c r="G23" s="44">
        <v>1</v>
      </c>
      <c r="H23" s="44">
        <v>1</v>
      </c>
      <c r="I23" s="44">
        <v>1</v>
      </c>
      <c r="J23" s="44">
        <v>1</v>
      </c>
      <c r="K23" s="44">
        <v>1</v>
      </c>
      <c r="L23" s="44">
        <v>1</v>
      </c>
      <c r="M23" s="44">
        <v>1</v>
      </c>
      <c r="P23" t="s">
        <v>114</v>
      </c>
    </row>
    <row r="24" spans="1:16" x14ac:dyDescent="0.25">
      <c r="A24" s="30" t="s">
        <v>14</v>
      </c>
      <c r="B24" s="44">
        <v>1</v>
      </c>
      <c r="C24" s="44">
        <v>1</v>
      </c>
      <c r="D24" s="44">
        <v>1</v>
      </c>
      <c r="E24" s="44">
        <v>1</v>
      </c>
      <c r="F24" s="44">
        <v>1</v>
      </c>
      <c r="G24" s="44">
        <v>1</v>
      </c>
      <c r="H24" s="44">
        <v>1</v>
      </c>
      <c r="I24" s="44">
        <v>1</v>
      </c>
      <c r="J24" s="44">
        <v>1</v>
      </c>
      <c r="K24" s="44">
        <v>1</v>
      </c>
      <c r="L24" s="44">
        <v>1</v>
      </c>
      <c r="M24" s="44">
        <v>1</v>
      </c>
      <c r="P24" t="s">
        <v>115</v>
      </c>
    </row>
    <row r="25" spans="1:16" x14ac:dyDescent="0.25">
      <c r="A25" s="31" t="s">
        <v>94</v>
      </c>
      <c r="B25" s="42">
        <v>0</v>
      </c>
      <c r="C25" s="42">
        <v>0</v>
      </c>
      <c r="D25" s="42">
        <v>0</v>
      </c>
      <c r="E25" s="42">
        <v>0</v>
      </c>
      <c r="F25" s="42">
        <v>0</v>
      </c>
      <c r="G25" s="42">
        <v>0</v>
      </c>
      <c r="H25" s="42">
        <v>0</v>
      </c>
      <c r="I25" s="42">
        <v>0</v>
      </c>
      <c r="J25" s="42">
        <v>0</v>
      </c>
      <c r="K25" s="44">
        <v>1</v>
      </c>
      <c r="L25" s="44">
        <v>1</v>
      </c>
      <c r="M25" s="44">
        <v>1</v>
      </c>
      <c r="P25" t="s">
        <v>153</v>
      </c>
    </row>
    <row r="26" spans="1:16" x14ac:dyDescent="0.25">
      <c r="A26" s="31" t="s">
        <v>96</v>
      </c>
      <c r="B26" s="42">
        <v>0</v>
      </c>
      <c r="C26" s="42">
        <v>0</v>
      </c>
      <c r="D26" s="42">
        <v>0</v>
      </c>
      <c r="E26" s="42">
        <v>0</v>
      </c>
      <c r="F26" s="42">
        <v>0</v>
      </c>
      <c r="G26" s="42">
        <v>0</v>
      </c>
      <c r="H26" s="42">
        <v>0</v>
      </c>
      <c r="I26" s="42">
        <v>0</v>
      </c>
      <c r="J26" s="42">
        <v>0</v>
      </c>
      <c r="K26" s="44">
        <v>1</v>
      </c>
      <c r="L26" s="44">
        <v>1</v>
      </c>
      <c r="M26" s="44">
        <v>1</v>
      </c>
      <c r="P26" t="s">
        <v>154</v>
      </c>
    </row>
    <row r="27" spans="1:16" x14ac:dyDescent="0.25">
      <c r="A27" s="34" t="s">
        <v>95</v>
      </c>
      <c r="B27" s="42">
        <v>0</v>
      </c>
      <c r="C27" s="42">
        <v>0</v>
      </c>
      <c r="D27" s="42">
        <v>0</v>
      </c>
      <c r="E27" s="42">
        <v>0</v>
      </c>
      <c r="F27" s="42">
        <v>0</v>
      </c>
      <c r="G27" s="42">
        <v>0</v>
      </c>
      <c r="H27" s="42">
        <v>0</v>
      </c>
      <c r="I27" s="42">
        <v>0</v>
      </c>
      <c r="J27" s="42">
        <v>0</v>
      </c>
      <c r="K27" s="42">
        <v>0</v>
      </c>
      <c r="L27" s="42">
        <v>0</v>
      </c>
      <c r="M27" s="42">
        <v>0</v>
      </c>
    </row>
    <row r="28" spans="1:16" x14ac:dyDescent="0.25">
      <c r="A28" s="22" t="s">
        <v>15</v>
      </c>
      <c r="B28" s="42">
        <v>0</v>
      </c>
      <c r="C28" s="42">
        <v>0</v>
      </c>
      <c r="D28" s="42">
        <v>0</v>
      </c>
      <c r="E28" s="42">
        <v>0</v>
      </c>
      <c r="F28" s="42">
        <v>0</v>
      </c>
      <c r="G28" s="42">
        <v>0</v>
      </c>
      <c r="H28" s="42">
        <v>0</v>
      </c>
      <c r="I28" s="42">
        <v>0</v>
      </c>
      <c r="J28" s="42">
        <v>0</v>
      </c>
      <c r="K28" s="42">
        <v>0</v>
      </c>
      <c r="L28" s="42">
        <v>0</v>
      </c>
      <c r="M28" s="42">
        <v>0</v>
      </c>
    </row>
    <row r="29" spans="1:16" x14ac:dyDescent="0.25">
      <c r="A29" s="20" t="s">
        <v>90</v>
      </c>
      <c r="B29" s="42">
        <v>0</v>
      </c>
      <c r="C29" s="42">
        <v>0</v>
      </c>
      <c r="D29" s="42">
        <v>0</v>
      </c>
      <c r="E29" s="42">
        <v>0</v>
      </c>
      <c r="F29" s="42">
        <v>0</v>
      </c>
      <c r="G29" s="42">
        <v>0</v>
      </c>
      <c r="H29" s="42">
        <v>0</v>
      </c>
      <c r="I29" s="42">
        <v>0</v>
      </c>
      <c r="J29" s="42">
        <v>0</v>
      </c>
      <c r="K29" s="42">
        <v>0</v>
      </c>
      <c r="L29" s="42">
        <v>0</v>
      </c>
      <c r="M29" s="42">
        <v>0</v>
      </c>
    </row>
    <row r="30" spans="1:16" x14ac:dyDescent="0.25">
      <c r="A30" s="21" t="s">
        <v>81</v>
      </c>
      <c r="B30" s="42">
        <v>0</v>
      </c>
      <c r="C30" s="42">
        <v>0</v>
      </c>
      <c r="D30" s="42">
        <v>0</v>
      </c>
      <c r="E30" s="42">
        <v>0</v>
      </c>
      <c r="F30" s="42">
        <v>0</v>
      </c>
      <c r="G30" s="42">
        <v>0</v>
      </c>
      <c r="H30" s="42">
        <v>0</v>
      </c>
      <c r="I30" s="42">
        <v>0</v>
      </c>
      <c r="J30" s="42">
        <v>0</v>
      </c>
      <c r="K30" s="42">
        <v>0</v>
      </c>
      <c r="L30" s="42">
        <v>0</v>
      </c>
      <c r="M30" s="42">
        <v>0</v>
      </c>
    </row>
    <row r="31" spans="1:16" x14ac:dyDescent="0.25">
      <c r="A31" s="35" t="s">
        <v>103</v>
      </c>
      <c r="B31" s="42">
        <v>0</v>
      </c>
      <c r="C31" s="42">
        <v>0</v>
      </c>
      <c r="D31" s="42">
        <v>0</v>
      </c>
      <c r="E31" s="44">
        <v>1</v>
      </c>
      <c r="F31" s="44">
        <v>1</v>
      </c>
      <c r="G31" s="44">
        <v>1</v>
      </c>
      <c r="H31" s="42">
        <v>0</v>
      </c>
      <c r="I31" s="42">
        <v>0</v>
      </c>
      <c r="J31" s="42">
        <v>0</v>
      </c>
      <c r="K31" s="44">
        <v>1</v>
      </c>
      <c r="L31" s="44">
        <v>1</v>
      </c>
      <c r="M31" s="44">
        <v>1</v>
      </c>
      <c r="P31" t="s">
        <v>155</v>
      </c>
    </row>
    <row r="32" spans="1:16" x14ac:dyDescent="0.25">
      <c r="A32" s="32" t="s">
        <v>46</v>
      </c>
      <c r="B32" s="44">
        <v>1</v>
      </c>
      <c r="C32" s="44">
        <v>1</v>
      </c>
      <c r="D32" s="44">
        <v>1</v>
      </c>
      <c r="E32" s="44">
        <v>1</v>
      </c>
      <c r="F32" s="44">
        <v>1</v>
      </c>
      <c r="G32" s="44">
        <v>1</v>
      </c>
      <c r="H32" s="44">
        <v>1</v>
      </c>
      <c r="I32" s="44">
        <v>1</v>
      </c>
      <c r="J32" s="44">
        <v>1</v>
      </c>
      <c r="K32" s="44">
        <v>1</v>
      </c>
      <c r="L32" s="44">
        <v>1</v>
      </c>
      <c r="M32" s="44">
        <v>1</v>
      </c>
      <c r="P32" t="s">
        <v>117</v>
      </c>
    </row>
    <row r="33" spans="1:16" x14ac:dyDescent="0.25">
      <c r="A33" s="22" t="s">
        <v>26</v>
      </c>
      <c r="B33" s="46">
        <v>0</v>
      </c>
      <c r="C33" s="46">
        <v>0</v>
      </c>
      <c r="D33" s="46">
        <v>0</v>
      </c>
      <c r="E33" s="46">
        <v>0</v>
      </c>
      <c r="F33" s="46">
        <v>0</v>
      </c>
      <c r="G33" s="46">
        <v>0</v>
      </c>
      <c r="H33" s="46">
        <v>0</v>
      </c>
      <c r="I33" s="46">
        <v>0</v>
      </c>
      <c r="J33" s="46">
        <v>0</v>
      </c>
      <c r="K33" s="46">
        <v>0</v>
      </c>
      <c r="L33" s="46">
        <v>0</v>
      </c>
      <c r="M33" s="46">
        <v>0</v>
      </c>
    </row>
    <row r="34" spans="1:16" x14ac:dyDescent="0.25">
      <c r="A34" s="30" t="s">
        <v>16</v>
      </c>
      <c r="B34" s="44">
        <v>1</v>
      </c>
      <c r="C34" s="44">
        <v>1</v>
      </c>
      <c r="D34" s="44">
        <v>1</v>
      </c>
      <c r="E34" s="44">
        <v>1</v>
      </c>
      <c r="F34" s="44">
        <v>1</v>
      </c>
      <c r="G34" s="44">
        <v>1</v>
      </c>
      <c r="H34" s="44">
        <v>1</v>
      </c>
      <c r="I34" s="44">
        <v>1</v>
      </c>
      <c r="J34" s="44">
        <v>1</v>
      </c>
      <c r="K34" s="44">
        <v>1</v>
      </c>
      <c r="L34" s="44">
        <v>1</v>
      </c>
      <c r="M34" s="44">
        <v>1</v>
      </c>
      <c r="P34" t="s">
        <v>118</v>
      </c>
    </row>
    <row r="35" spans="1:16" x14ac:dyDescent="0.25">
      <c r="A35" s="24" t="s">
        <v>62</v>
      </c>
      <c r="B35" s="42">
        <v>0</v>
      </c>
      <c r="C35" s="42">
        <v>0</v>
      </c>
      <c r="D35" s="42">
        <v>0</v>
      </c>
      <c r="E35" s="42">
        <v>0</v>
      </c>
      <c r="F35" s="42">
        <v>0</v>
      </c>
      <c r="G35" s="42">
        <v>0</v>
      </c>
      <c r="H35" s="42">
        <v>0</v>
      </c>
      <c r="I35" s="42">
        <v>0</v>
      </c>
      <c r="J35" s="42">
        <v>0</v>
      </c>
      <c r="K35" s="42">
        <v>0</v>
      </c>
      <c r="L35" s="42">
        <v>0</v>
      </c>
      <c r="M35" s="42">
        <v>0</v>
      </c>
    </row>
    <row r="36" spans="1:16" x14ac:dyDescent="0.25">
      <c r="A36" s="24" t="s">
        <v>63</v>
      </c>
      <c r="B36" s="42">
        <v>0</v>
      </c>
      <c r="C36" s="42">
        <v>0</v>
      </c>
      <c r="D36" s="42">
        <v>0</v>
      </c>
      <c r="E36" s="42">
        <v>0</v>
      </c>
      <c r="F36" s="42">
        <v>0</v>
      </c>
      <c r="G36" s="42">
        <v>0</v>
      </c>
      <c r="H36" s="42">
        <v>0</v>
      </c>
      <c r="I36" s="42">
        <v>0</v>
      </c>
      <c r="J36" s="42">
        <v>0</v>
      </c>
      <c r="K36" s="42">
        <v>0</v>
      </c>
      <c r="L36" s="42">
        <v>0</v>
      </c>
      <c r="M36" s="42">
        <v>0</v>
      </c>
    </row>
    <row r="37" spans="1:16" x14ac:dyDescent="0.25">
      <c r="A37" s="30" t="s">
        <v>38</v>
      </c>
      <c r="B37" s="44">
        <v>1</v>
      </c>
      <c r="C37" s="44">
        <v>1</v>
      </c>
      <c r="D37" s="44">
        <v>1</v>
      </c>
      <c r="E37" s="44">
        <v>1</v>
      </c>
      <c r="F37" s="44">
        <v>1</v>
      </c>
      <c r="G37" s="44">
        <v>1</v>
      </c>
      <c r="H37" s="44">
        <v>1</v>
      </c>
      <c r="I37" s="44">
        <v>1</v>
      </c>
      <c r="J37" s="44">
        <v>1</v>
      </c>
      <c r="K37" s="44">
        <v>1</v>
      </c>
      <c r="L37" s="44">
        <v>1</v>
      </c>
      <c r="M37" s="44">
        <v>1</v>
      </c>
      <c r="P37" t="s">
        <v>112</v>
      </c>
    </row>
    <row r="38" spans="1:16" x14ac:dyDescent="0.25">
      <c r="A38" s="32" t="s">
        <v>52</v>
      </c>
      <c r="B38" s="42">
        <v>0</v>
      </c>
      <c r="C38" s="44">
        <v>1</v>
      </c>
      <c r="D38" s="44">
        <v>1</v>
      </c>
      <c r="E38" s="42">
        <v>0</v>
      </c>
      <c r="F38" s="44">
        <v>1</v>
      </c>
      <c r="G38" s="44">
        <v>1</v>
      </c>
      <c r="H38" s="42">
        <v>0</v>
      </c>
      <c r="I38" s="44">
        <v>1</v>
      </c>
      <c r="J38" s="44">
        <v>1</v>
      </c>
      <c r="K38" s="42">
        <v>0</v>
      </c>
      <c r="L38" s="44">
        <v>1</v>
      </c>
      <c r="M38" s="44">
        <v>1</v>
      </c>
      <c r="P38" t="s">
        <v>156</v>
      </c>
    </row>
    <row r="39" spans="1:16" x14ac:dyDescent="0.25">
      <c r="A39" s="23" t="s">
        <v>86</v>
      </c>
      <c r="B39" s="42">
        <v>0</v>
      </c>
      <c r="C39" s="42">
        <v>0</v>
      </c>
      <c r="D39" s="42">
        <v>0</v>
      </c>
      <c r="E39" s="42">
        <v>0</v>
      </c>
      <c r="F39" s="42">
        <v>0</v>
      </c>
      <c r="G39" s="42">
        <v>0</v>
      </c>
      <c r="H39" s="42">
        <v>0</v>
      </c>
      <c r="I39" s="42">
        <v>0</v>
      </c>
      <c r="J39" s="42">
        <v>0</v>
      </c>
      <c r="K39" s="42">
        <v>0</v>
      </c>
      <c r="L39" s="42">
        <v>0</v>
      </c>
      <c r="M39" s="42">
        <v>0</v>
      </c>
    </row>
    <row r="40" spans="1:16" x14ac:dyDescent="0.25">
      <c r="A40" s="30" t="s">
        <v>39</v>
      </c>
      <c r="B40" s="44">
        <v>1</v>
      </c>
      <c r="C40" s="42">
        <v>0</v>
      </c>
      <c r="D40" s="42">
        <v>0</v>
      </c>
      <c r="E40" s="44">
        <v>1</v>
      </c>
      <c r="F40" s="42">
        <v>0</v>
      </c>
      <c r="G40" s="42">
        <v>0</v>
      </c>
      <c r="H40" s="44">
        <v>1</v>
      </c>
      <c r="I40" s="42">
        <v>0</v>
      </c>
      <c r="J40" s="42">
        <v>0</v>
      </c>
      <c r="K40" s="44">
        <v>1</v>
      </c>
      <c r="L40" s="42">
        <v>0</v>
      </c>
      <c r="M40" s="42">
        <v>0</v>
      </c>
      <c r="P40" t="s">
        <v>119</v>
      </c>
    </row>
    <row r="41" spans="1:16" x14ac:dyDescent="0.25">
      <c r="A41" s="32" t="s">
        <v>53</v>
      </c>
      <c r="B41" s="42">
        <v>0</v>
      </c>
      <c r="C41" s="44">
        <v>1</v>
      </c>
      <c r="D41" s="44">
        <v>1</v>
      </c>
      <c r="E41" s="42">
        <v>0</v>
      </c>
      <c r="F41" s="44">
        <v>1</v>
      </c>
      <c r="G41" s="44">
        <v>1</v>
      </c>
      <c r="H41" s="42">
        <v>0</v>
      </c>
      <c r="I41" s="44">
        <v>1</v>
      </c>
      <c r="J41" s="44">
        <v>1</v>
      </c>
      <c r="K41" s="42">
        <v>0</v>
      </c>
      <c r="L41" s="44">
        <v>1</v>
      </c>
      <c r="M41" s="44">
        <v>1</v>
      </c>
      <c r="P41" t="s">
        <v>157</v>
      </c>
    </row>
    <row r="42" spans="1:16" x14ac:dyDescent="0.25">
      <c r="A42" s="30" t="s">
        <v>40</v>
      </c>
      <c r="B42" s="44">
        <v>1</v>
      </c>
      <c r="C42" s="42">
        <v>0</v>
      </c>
      <c r="D42" s="42">
        <v>0</v>
      </c>
      <c r="E42" s="44">
        <v>1</v>
      </c>
      <c r="F42" s="42">
        <v>0</v>
      </c>
      <c r="G42" s="42">
        <v>0</v>
      </c>
      <c r="H42" s="44">
        <v>1</v>
      </c>
      <c r="I42" s="42">
        <v>0</v>
      </c>
      <c r="J42" s="42">
        <v>0</v>
      </c>
      <c r="K42" s="44">
        <v>1</v>
      </c>
      <c r="L42" s="42">
        <v>0</v>
      </c>
      <c r="M42" s="42">
        <v>0</v>
      </c>
      <c r="P42" t="s">
        <v>120</v>
      </c>
    </row>
    <row r="43" spans="1:16" x14ac:dyDescent="0.25">
      <c r="A43" s="29" t="s">
        <v>88</v>
      </c>
      <c r="B43" s="42">
        <v>0</v>
      </c>
      <c r="C43" s="44">
        <v>1</v>
      </c>
      <c r="D43" s="44">
        <v>1</v>
      </c>
      <c r="E43" s="42">
        <v>0</v>
      </c>
      <c r="F43" s="44">
        <v>1</v>
      </c>
      <c r="G43" s="44">
        <v>1</v>
      </c>
      <c r="H43" s="42">
        <v>0</v>
      </c>
      <c r="I43" s="44">
        <v>1</v>
      </c>
      <c r="J43" s="44">
        <v>1</v>
      </c>
      <c r="K43" s="42">
        <v>0</v>
      </c>
      <c r="L43" s="44">
        <v>1</v>
      </c>
      <c r="M43" s="44">
        <v>1</v>
      </c>
      <c r="P43" t="s">
        <v>158</v>
      </c>
    </row>
    <row r="44" spans="1:16" x14ac:dyDescent="0.25">
      <c r="A44" s="31" t="s">
        <v>98</v>
      </c>
      <c r="B44" s="42">
        <v>0</v>
      </c>
      <c r="C44" s="44">
        <v>1</v>
      </c>
      <c r="D44" s="44">
        <v>1</v>
      </c>
      <c r="E44" s="42">
        <v>0</v>
      </c>
      <c r="F44" s="44">
        <v>1</v>
      </c>
      <c r="G44" s="44">
        <v>1</v>
      </c>
      <c r="H44" s="42">
        <v>0</v>
      </c>
      <c r="I44" s="44">
        <v>1</v>
      </c>
      <c r="J44" s="44">
        <v>1</v>
      </c>
      <c r="K44" s="42">
        <v>0</v>
      </c>
      <c r="L44" s="44">
        <v>1</v>
      </c>
      <c r="M44" s="44">
        <v>1</v>
      </c>
      <c r="P44" t="s">
        <v>159</v>
      </c>
    </row>
    <row r="45" spans="1:16" x14ac:dyDescent="0.25">
      <c r="A45" s="27" t="s">
        <v>82</v>
      </c>
      <c r="B45" s="42">
        <v>0</v>
      </c>
      <c r="C45" s="44">
        <v>1</v>
      </c>
      <c r="D45" s="44">
        <v>1</v>
      </c>
      <c r="E45" s="42">
        <v>0</v>
      </c>
      <c r="F45" s="44">
        <v>1</v>
      </c>
      <c r="G45" s="44">
        <v>1</v>
      </c>
      <c r="H45" s="42">
        <v>0</v>
      </c>
      <c r="I45" s="44">
        <v>1</v>
      </c>
      <c r="J45" s="44">
        <v>1</v>
      </c>
      <c r="K45" s="42">
        <v>0</v>
      </c>
      <c r="L45" s="44">
        <v>1</v>
      </c>
      <c r="M45" s="44">
        <v>1</v>
      </c>
      <c r="P45" t="s">
        <v>160</v>
      </c>
    </row>
    <row r="46" spans="1:16" x14ac:dyDescent="0.25">
      <c r="A46" s="30" t="s">
        <v>24</v>
      </c>
      <c r="B46" s="44">
        <v>1</v>
      </c>
      <c r="C46" s="44">
        <v>1</v>
      </c>
      <c r="D46" s="44">
        <v>1</v>
      </c>
      <c r="E46" s="42">
        <v>0</v>
      </c>
      <c r="F46" s="42">
        <v>0</v>
      </c>
      <c r="G46" s="42">
        <v>0</v>
      </c>
      <c r="H46" s="44">
        <v>1</v>
      </c>
      <c r="I46" s="44">
        <v>1</v>
      </c>
      <c r="J46" s="44">
        <v>1</v>
      </c>
      <c r="K46" s="42">
        <v>0</v>
      </c>
      <c r="L46" s="42">
        <v>0</v>
      </c>
      <c r="M46" s="42">
        <v>0</v>
      </c>
      <c r="P46" t="s">
        <v>121</v>
      </c>
    </row>
    <row r="47" spans="1:16" x14ac:dyDescent="0.25">
      <c r="A47" s="27" t="s">
        <v>67</v>
      </c>
      <c r="B47" s="42">
        <v>0</v>
      </c>
      <c r="C47" s="42">
        <v>0</v>
      </c>
      <c r="D47" s="42">
        <v>0</v>
      </c>
      <c r="E47" s="44">
        <v>1</v>
      </c>
      <c r="F47" s="44">
        <v>1</v>
      </c>
      <c r="G47" s="44">
        <v>1</v>
      </c>
      <c r="H47" s="42">
        <v>0</v>
      </c>
      <c r="I47" s="42">
        <v>0</v>
      </c>
      <c r="J47" s="42">
        <v>0</v>
      </c>
      <c r="K47" s="44">
        <v>1</v>
      </c>
      <c r="L47" s="44">
        <v>1</v>
      </c>
      <c r="M47" s="44">
        <v>1</v>
      </c>
      <c r="P47" t="s">
        <v>161</v>
      </c>
    </row>
    <row r="48" spans="1:16" x14ac:dyDescent="0.25">
      <c r="A48" s="30" t="s">
        <v>34</v>
      </c>
      <c r="B48" s="44">
        <v>1</v>
      </c>
      <c r="C48" s="44">
        <v>1</v>
      </c>
      <c r="D48" s="44">
        <v>1</v>
      </c>
      <c r="E48" s="44">
        <v>1</v>
      </c>
      <c r="F48" s="44">
        <v>1</v>
      </c>
      <c r="G48" s="44">
        <v>1</v>
      </c>
      <c r="H48" s="44">
        <v>1</v>
      </c>
      <c r="I48" s="44">
        <v>1</v>
      </c>
      <c r="J48" s="44">
        <v>1</v>
      </c>
      <c r="K48" s="44">
        <v>1</v>
      </c>
      <c r="L48" s="44">
        <v>1</v>
      </c>
      <c r="M48" s="44">
        <v>1</v>
      </c>
      <c r="P48" t="s">
        <v>122</v>
      </c>
    </row>
    <row r="49" spans="1:16" x14ac:dyDescent="0.25">
      <c r="A49" s="30" t="s">
        <v>35</v>
      </c>
      <c r="B49" s="44">
        <v>1</v>
      </c>
      <c r="C49" s="44">
        <v>1</v>
      </c>
      <c r="D49" s="44">
        <v>1</v>
      </c>
      <c r="E49" s="44">
        <v>1</v>
      </c>
      <c r="F49" s="44">
        <v>1</v>
      </c>
      <c r="G49" s="44">
        <v>1</v>
      </c>
      <c r="H49" s="44">
        <v>1</v>
      </c>
      <c r="I49" s="44">
        <v>1</v>
      </c>
      <c r="J49" s="44">
        <v>1</v>
      </c>
      <c r="K49" s="44">
        <v>1</v>
      </c>
      <c r="L49" s="44">
        <v>1</v>
      </c>
      <c r="M49" s="44">
        <v>1</v>
      </c>
      <c r="P49" t="s">
        <v>123</v>
      </c>
    </row>
    <row r="50" spans="1:16" x14ac:dyDescent="0.25">
      <c r="A50" s="30" t="s">
        <v>17</v>
      </c>
      <c r="B50" s="44">
        <v>1</v>
      </c>
      <c r="C50" s="44">
        <v>1</v>
      </c>
      <c r="D50" s="44">
        <v>1</v>
      </c>
      <c r="E50" s="44">
        <v>1</v>
      </c>
      <c r="F50" s="44">
        <v>1</v>
      </c>
      <c r="G50" s="44">
        <v>1</v>
      </c>
      <c r="H50" s="44">
        <v>1</v>
      </c>
      <c r="I50" s="44">
        <v>1</v>
      </c>
      <c r="J50" s="44">
        <v>1</v>
      </c>
      <c r="K50" s="44">
        <v>1</v>
      </c>
      <c r="L50" s="44">
        <v>1</v>
      </c>
      <c r="M50" s="44">
        <v>1</v>
      </c>
      <c r="P50" t="s">
        <v>124</v>
      </c>
    </row>
    <row r="51" spans="1:16" x14ac:dyDescent="0.25">
      <c r="A51" s="30" t="s">
        <v>27</v>
      </c>
      <c r="B51" s="44">
        <v>1</v>
      </c>
      <c r="C51" s="44">
        <v>1</v>
      </c>
      <c r="D51" s="44">
        <v>1</v>
      </c>
      <c r="E51" s="44">
        <v>1</v>
      </c>
      <c r="F51" s="44">
        <v>1</v>
      </c>
      <c r="G51" s="44">
        <v>1</v>
      </c>
      <c r="H51" s="42">
        <v>0</v>
      </c>
      <c r="I51" s="42">
        <v>0</v>
      </c>
      <c r="J51" s="42">
        <v>0</v>
      </c>
      <c r="K51" s="44">
        <v>1</v>
      </c>
      <c r="L51" s="44">
        <v>1</v>
      </c>
      <c r="M51" s="44">
        <v>1</v>
      </c>
      <c r="P51" t="s">
        <v>125</v>
      </c>
    </row>
    <row r="52" spans="1:16" x14ac:dyDescent="0.25">
      <c r="A52" s="32" t="s">
        <v>55</v>
      </c>
      <c r="B52" s="44">
        <v>1</v>
      </c>
      <c r="C52" s="44">
        <v>1</v>
      </c>
      <c r="D52" s="44">
        <v>1</v>
      </c>
      <c r="E52" s="44">
        <v>1</v>
      </c>
      <c r="F52" s="44">
        <v>1</v>
      </c>
      <c r="G52" s="44">
        <v>1</v>
      </c>
      <c r="H52" s="44">
        <v>1</v>
      </c>
      <c r="I52" s="44">
        <v>1</v>
      </c>
      <c r="J52" s="44">
        <v>1</v>
      </c>
      <c r="K52" s="44">
        <v>1</v>
      </c>
      <c r="L52" s="44">
        <v>1</v>
      </c>
      <c r="M52" s="44">
        <v>1</v>
      </c>
      <c r="P52" t="s">
        <v>126</v>
      </c>
    </row>
    <row r="53" spans="1:16" x14ac:dyDescent="0.25">
      <c r="A53" s="30" t="s">
        <v>25</v>
      </c>
      <c r="B53" s="44">
        <v>1</v>
      </c>
      <c r="C53" s="44">
        <v>1</v>
      </c>
      <c r="D53" s="44">
        <v>1</v>
      </c>
      <c r="E53" s="44">
        <v>1</v>
      </c>
      <c r="F53" s="44">
        <v>1</v>
      </c>
      <c r="G53" s="44">
        <v>1</v>
      </c>
      <c r="H53" s="44">
        <v>1</v>
      </c>
      <c r="I53" s="44">
        <v>1</v>
      </c>
      <c r="J53" s="44">
        <v>1</v>
      </c>
      <c r="K53" s="44">
        <v>1</v>
      </c>
      <c r="L53" s="44">
        <v>1</v>
      </c>
      <c r="M53" s="44">
        <v>1</v>
      </c>
      <c r="P53" t="s">
        <v>127</v>
      </c>
    </row>
    <row r="54" spans="1:16" x14ac:dyDescent="0.25">
      <c r="A54" s="30" t="s">
        <v>36</v>
      </c>
      <c r="B54" s="44">
        <v>1</v>
      </c>
      <c r="C54" s="44">
        <v>1</v>
      </c>
      <c r="D54" s="44">
        <v>1</v>
      </c>
      <c r="E54" s="44">
        <v>1</v>
      </c>
      <c r="F54" s="44">
        <v>1</v>
      </c>
      <c r="G54" s="44">
        <v>1</v>
      </c>
      <c r="H54" s="44">
        <v>1</v>
      </c>
      <c r="I54" s="44">
        <v>1</v>
      </c>
      <c r="J54" s="44">
        <v>1</v>
      </c>
      <c r="K54" s="44">
        <v>1</v>
      </c>
      <c r="L54" s="44">
        <v>1</v>
      </c>
      <c r="M54" s="44">
        <v>1</v>
      </c>
      <c r="P54" t="s">
        <v>128</v>
      </c>
    </row>
    <row r="55" spans="1:16" x14ac:dyDescent="0.25">
      <c r="A55" s="30" t="s">
        <v>28</v>
      </c>
      <c r="B55" s="44">
        <v>1</v>
      </c>
      <c r="C55" s="44">
        <v>1</v>
      </c>
      <c r="D55" s="44">
        <v>1</v>
      </c>
      <c r="E55" s="44">
        <v>1</v>
      </c>
      <c r="F55" s="44">
        <v>1</v>
      </c>
      <c r="G55" s="44">
        <v>1</v>
      </c>
      <c r="H55" s="44">
        <v>1</v>
      </c>
      <c r="I55" s="44">
        <v>1</v>
      </c>
      <c r="J55" s="44">
        <v>1</v>
      </c>
      <c r="K55" s="44">
        <v>1</v>
      </c>
      <c r="L55" s="44">
        <v>1</v>
      </c>
      <c r="M55" s="44">
        <v>1</v>
      </c>
      <c r="P55" t="s">
        <v>129</v>
      </c>
    </row>
    <row r="56" spans="1:16" x14ac:dyDescent="0.25">
      <c r="A56" s="21" t="s">
        <v>68</v>
      </c>
      <c r="B56" s="42">
        <v>0</v>
      </c>
      <c r="C56" s="42">
        <v>0</v>
      </c>
      <c r="D56" s="42">
        <v>0</v>
      </c>
      <c r="E56" s="42">
        <v>0</v>
      </c>
      <c r="F56" s="42">
        <v>0</v>
      </c>
      <c r="G56" s="42">
        <v>0</v>
      </c>
      <c r="H56" s="42">
        <v>0</v>
      </c>
      <c r="I56" s="42">
        <v>0</v>
      </c>
      <c r="J56" s="42">
        <v>0</v>
      </c>
      <c r="K56" s="42">
        <v>0</v>
      </c>
      <c r="L56" s="42">
        <v>0</v>
      </c>
      <c r="M56" s="42">
        <v>0</v>
      </c>
    </row>
    <row r="57" spans="1:16" x14ac:dyDescent="0.25">
      <c r="A57" s="21" t="s">
        <v>69</v>
      </c>
      <c r="B57" s="42">
        <v>0</v>
      </c>
      <c r="C57" s="42">
        <v>0</v>
      </c>
      <c r="D57" s="42">
        <v>0</v>
      </c>
      <c r="E57" s="42">
        <v>0</v>
      </c>
      <c r="F57" s="42">
        <v>0</v>
      </c>
      <c r="G57" s="42">
        <v>0</v>
      </c>
      <c r="H57" s="42">
        <v>0</v>
      </c>
      <c r="I57" s="42">
        <v>0</v>
      </c>
      <c r="J57" s="42">
        <v>0</v>
      </c>
      <c r="K57" s="42">
        <v>0</v>
      </c>
      <c r="L57" s="42">
        <v>0</v>
      </c>
      <c r="M57" s="42">
        <v>0</v>
      </c>
    </row>
    <row r="58" spans="1:16" x14ac:dyDescent="0.25">
      <c r="A58" s="22" t="s">
        <v>18</v>
      </c>
      <c r="B58" s="42">
        <v>0</v>
      </c>
      <c r="C58" s="42">
        <v>0</v>
      </c>
      <c r="D58" s="42">
        <v>0</v>
      </c>
      <c r="E58" s="42">
        <v>0</v>
      </c>
      <c r="F58" s="42">
        <v>0</v>
      </c>
      <c r="G58" s="42">
        <v>0</v>
      </c>
      <c r="H58" s="42">
        <v>0</v>
      </c>
      <c r="I58" s="42">
        <v>0</v>
      </c>
      <c r="J58" s="42">
        <v>0</v>
      </c>
      <c r="K58" s="42">
        <v>0</v>
      </c>
      <c r="L58" s="42">
        <v>0</v>
      </c>
      <c r="M58" s="42">
        <v>0</v>
      </c>
    </row>
    <row r="59" spans="1:16" x14ac:dyDescent="0.25">
      <c r="A59" s="21" t="s">
        <v>76</v>
      </c>
      <c r="B59" s="42">
        <v>0</v>
      </c>
      <c r="C59" s="42">
        <v>0</v>
      </c>
      <c r="D59" s="42">
        <v>0</v>
      </c>
      <c r="E59" s="42">
        <v>0</v>
      </c>
      <c r="F59" s="42">
        <v>0</v>
      </c>
      <c r="G59" s="42">
        <v>0</v>
      </c>
      <c r="H59" s="42">
        <v>0</v>
      </c>
      <c r="I59" s="42">
        <v>0</v>
      </c>
      <c r="J59" s="42">
        <v>0</v>
      </c>
      <c r="K59" s="42">
        <v>0</v>
      </c>
      <c r="L59" s="42">
        <v>0</v>
      </c>
      <c r="M59" s="42">
        <v>0</v>
      </c>
    </row>
    <row r="60" spans="1:16" x14ac:dyDescent="0.25">
      <c r="A60" s="30" t="s">
        <v>19</v>
      </c>
      <c r="B60" s="44">
        <v>1</v>
      </c>
      <c r="C60" s="44">
        <v>1</v>
      </c>
      <c r="D60" s="44">
        <v>1</v>
      </c>
      <c r="E60" s="44">
        <v>1</v>
      </c>
      <c r="F60" s="44">
        <v>1</v>
      </c>
      <c r="G60" s="44">
        <v>1</v>
      </c>
      <c r="H60" s="44">
        <v>1</v>
      </c>
      <c r="I60" s="44">
        <v>1</v>
      </c>
      <c r="J60" s="44">
        <v>1</v>
      </c>
      <c r="K60" s="44">
        <v>1</v>
      </c>
      <c r="L60" s="44">
        <v>1</v>
      </c>
      <c r="M60" s="44">
        <v>1</v>
      </c>
      <c r="P60" t="s">
        <v>130</v>
      </c>
    </row>
    <row r="61" spans="1:16" x14ac:dyDescent="0.25">
      <c r="A61" s="29" t="s">
        <v>83</v>
      </c>
      <c r="B61" s="42">
        <v>0</v>
      </c>
      <c r="C61" s="42">
        <v>0</v>
      </c>
      <c r="D61" s="42">
        <v>0</v>
      </c>
      <c r="E61" s="42">
        <v>0</v>
      </c>
      <c r="F61" s="42">
        <v>0</v>
      </c>
      <c r="G61" s="42">
        <v>0</v>
      </c>
      <c r="H61" s="44">
        <v>1</v>
      </c>
      <c r="I61" s="44">
        <v>1</v>
      </c>
      <c r="J61" s="44">
        <v>1</v>
      </c>
      <c r="K61" s="42">
        <v>0</v>
      </c>
      <c r="L61" s="42">
        <v>0</v>
      </c>
      <c r="M61" s="42">
        <v>0</v>
      </c>
      <c r="O61" s="19"/>
      <c r="P61" t="s">
        <v>163</v>
      </c>
    </row>
    <row r="62" spans="1:16" x14ac:dyDescent="0.25">
      <c r="A62" s="38" t="s">
        <v>105</v>
      </c>
      <c r="B62" s="44">
        <v>1</v>
      </c>
      <c r="C62" s="44">
        <v>1</v>
      </c>
      <c r="D62" s="44">
        <v>1</v>
      </c>
      <c r="E62" s="44">
        <v>1</v>
      </c>
      <c r="F62" s="44">
        <v>1</v>
      </c>
      <c r="G62" s="44">
        <v>1</v>
      </c>
      <c r="H62" s="42">
        <v>0</v>
      </c>
      <c r="I62" s="42">
        <v>0</v>
      </c>
      <c r="J62" s="42">
        <v>0</v>
      </c>
      <c r="K62" s="44">
        <v>1</v>
      </c>
      <c r="L62" s="44">
        <v>1</v>
      </c>
      <c r="M62" s="44">
        <v>1</v>
      </c>
      <c r="P62" t="s">
        <v>132</v>
      </c>
    </row>
    <row r="63" spans="1:16" x14ac:dyDescent="0.25">
      <c r="A63" s="38" t="s">
        <v>87</v>
      </c>
      <c r="B63" s="44">
        <v>1</v>
      </c>
      <c r="C63" s="44">
        <v>1</v>
      </c>
      <c r="D63" s="44">
        <v>1</v>
      </c>
      <c r="E63" s="44">
        <v>1</v>
      </c>
      <c r="F63" s="44">
        <v>1</v>
      </c>
      <c r="G63" s="44">
        <v>1</v>
      </c>
      <c r="H63" s="42">
        <v>0</v>
      </c>
      <c r="I63" s="42">
        <v>0</v>
      </c>
      <c r="J63" s="42">
        <v>0</v>
      </c>
      <c r="K63" s="44">
        <v>1</v>
      </c>
      <c r="L63" s="44">
        <v>1</v>
      </c>
      <c r="M63" s="44">
        <v>1</v>
      </c>
      <c r="P63" t="s">
        <v>131</v>
      </c>
    </row>
    <row r="64" spans="1:16" x14ac:dyDescent="0.25">
      <c r="A64" s="30" t="s">
        <v>29</v>
      </c>
      <c r="B64" s="44">
        <v>1</v>
      </c>
      <c r="C64" s="44">
        <v>1</v>
      </c>
      <c r="D64" s="44">
        <v>1</v>
      </c>
      <c r="E64" s="44">
        <v>1</v>
      </c>
      <c r="F64" s="44">
        <v>1</v>
      </c>
      <c r="G64" s="44">
        <v>1</v>
      </c>
      <c r="H64" s="44">
        <v>1</v>
      </c>
      <c r="I64" s="44">
        <v>1</v>
      </c>
      <c r="J64" s="44">
        <v>1</v>
      </c>
      <c r="K64" s="44">
        <v>1</v>
      </c>
      <c r="L64" s="44">
        <v>1</v>
      </c>
      <c r="M64" s="44">
        <v>1</v>
      </c>
      <c r="P64" t="s">
        <v>133</v>
      </c>
    </row>
    <row r="65" spans="1:16" x14ac:dyDescent="0.25">
      <c r="A65" s="40" t="s">
        <v>23</v>
      </c>
      <c r="B65" s="44">
        <v>1</v>
      </c>
      <c r="C65" s="42">
        <v>0</v>
      </c>
      <c r="D65" s="42">
        <v>0</v>
      </c>
      <c r="E65" s="44">
        <v>1</v>
      </c>
      <c r="F65" s="42">
        <v>0</v>
      </c>
      <c r="G65" s="42">
        <v>0</v>
      </c>
      <c r="H65" s="42">
        <v>0</v>
      </c>
      <c r="I65" s="42">
        <v>0</v>
      </c>
      <c r="J65" s="42">
        <v>0</v>
      </c>
      <c r="K65" s="44">
        <v>1</v>
      </c>
      <c r="L65" s="42">
        <v>0</v>
      </c>
      <c r="M65" s="42">
        <v>0</v>
      </c>
      <c r="P65" t="s">
        <v>134</v>
      </c>
    </row>
    <row r="66" spans="1:16" x14ac:dyDescent="0.25">
      <c r="A66" s="32" t="s">
        <v>45</v>
      </c>
      <c r="B66" s="42">
        <v>0</v>
      </c>
      <c r="C66" s="44">
        <v>1</v>
      </c>
      <c r="D66" s="44">
        <v>1</v>
      </c>
      <c r="E66" s="42">
        <v>0</v>
      </c>
      <c r="F66" s="44">
        <v>1</v>
      </c>
      <c r="G66" s="44">
        <v>1</v>
      </c>
      <c r="H66" s="42">
        <v>0</v>
      </c>
      <c r="I66" s="42">
        <v>0</v>
      </c>
      <c r="J66" s="42">
        <v>0</v>
      </c>
      <c r="K66" s="42">
        <v>0</v>
      </c>
      <c r="L66" s="44">
        <v>1</v>
      </c>
      <c r="M66" s="44">
        <v>1</v>
      </c>
      <c r="P66" t="s">
        <v>162</v>
      </c>
    </row>
    <row r="67" spans="1:16" x14ac:dyDescent="0.25">
      <c r="A67" s="30" t="s">
        <v>20</v>
      </c>
      <c r="B67" s="44">
        <v>1</v>
      </c>
      <c r="C67" s="44">
        <v>1</v>
      </c>
      <c r="D67" s="44">
        <v>1</v>
      </c>
      <c r="E67" s="44">
        <v>1</v>
      </c>
      <c r="F67" s="44">
        <v>1</v>
      </c>
      <c r="G67" s="44">
        <v>1</v>
      </c>
      <c r="H67" s="44">
        <v>1</v>
      </c>
      <c r="I67" s="44">
        <v>1</v>
      </c>
      <c r="J67" s="44">
        <v>1</v>
      </c>
      <c r="K67" s="44">
        <v>1</v>
      </c>
      <c r="L67" s="44">
        <v>1</v>
      </c>
      <c r="M67" s="44">
        <v>1</v>
      </c>
      <c r="P67" t="s">
        <v>135</v>
      </c>
    </row>
    <row r="68" spans="1:16" x14ac:dyDescent="0.25">
      <c r="A68" s="21" t="s">
        <v>74</v>
      </c>
      <c r="B68" s="42">
        <v>0</v>
      </c>
      <c r="C68" s="42">
        <v>0</v>
      </c>
      <c r="D68" s="42">
        <v>0</v>
      </c>
      <c r="E68" s="42">
        <v>0</v>
      </c>
      <c r="F68" s="42">
        <v>0</v>
      </c>
      <c r="G68" s="42">
        <v>0</v>
      </c>
      <c r="H68" s="42">
        <v>0</v>
      </c>
      <c r="I68" s="42">
        <v>0</v>
      </c>
      <c r="J68" s="42">
        <v>0</v>
      </c>
      <c r="K68" s="42">
        <v>0</v>
      </c>
      <c r="L68" s="42">
        <v>0</v>
      </c>
      <c r="M68" s="42">
        <v>0</v>
      </c>
    </row>
    <row r="69" spans="1:16" x14ac:dyDescent="0.25">
      <c r="A69" s="22" t="s">
        <v>41</v>
      </c>
      <c r="B69" s="42">
        <v>0</v>
      </c>
      <c r="C69" s="42">
        <v>0</v>
      </c>
      <c r="D69" s="42">
        <v>0</v>
      </c>
      <c r="E69" s="42">
        <v>0</v>
      </c>
      <c r="F69" s="42">
        <v>0</v>
      </c>
      <c r="G69" s="42">
        <v>0</v>
      </c>
      <c r="H69" s="42">
        <v>0</v>
      </c>
      <c r="I69" s="42">
        <v>0</v>
      </c>
      <c r="J69" s="42">
        <v>0</v>
      </c>
      <c r="K69" s="42">
        <v>0</v>
      </c>
      <c r="L69" s="42">
        <v>0</v>
      </c>
      <c r="M69" s="42">
        <v>0</v>
      </c>
    </row>
    <row r="70" spans="1:16" x14ac:dyDescent="0.25">
      <c r="A70" s="22" t="s">
        <v>42</v>
      </c>
      <c r="B70" s="42">
        <v>0</v>
      </c>
      <c r="C70" s="42">
        <v>0</v>
      </c>
      <c r="D70" s="42">
        <v>0</v>
      </c>
      <c r="E70" s="42">
        <v>0</v>
      </c>
      <c r="F70" s="42">
        <v>0</v>
      </c>
      <c r="G70" s="42">
        <v>0</v>
      </c>
      <c r="H70" s="42">
        <v>0</v>
      </c>
      <c r="I70" s="42">
        <v>0</v>
      </c>
      <c r="J70" s="42">
        <v>0</v>
      </c>
      <c r="K70" s="42">
        <v>0</v>
      </c>
      <c r="L70" s="42">
        <v>0</v>
      </c>
      <c r="M70" s="42">
        <v>0</v>
      </c>
    </row>
    <row r="71" spans="1:16" x14ac:dyDescent="0.25">
      <c r="A71" s="30" t="s">
        <v>30</v>
      </c>
      <c r="B71" s="44">
        <v>1</v>
      </c>
      <c r="C71" s="44">
        <v>1</v>
      </c>
      <c r="D71" s="44">
        <v>1</v>
      </c>
      <c r="E71" s="44">
        <v>1</v>
      </c>
      <c r="F71" s="44">
        <v>1</v>
      </c>
      <c r="G71" s="44">
        <v>1</v>
      </c>
      <c r="H71" s="44">
        <v>1</v>
      </c>
      <c r="I71" s="44">
        <v>1</v>
      </c>
      <c r="J71" s="44">
        <v>1</v>
      </c>
      <c r="K71" s="44">
        <v>1</v>
      </c>
      <c r="L71" s="44">
        <v>1</v>
      </c>
      <c r="M71" s="44">
        <v>1</v>
      </c>
      <c r="P71" t="s">
        <v>136</v>
      </c>
    </row>
    <row r="72" spans="1:16" x14ac:dyDescent="0.25">
      <c r="A72" s="30" t="s">
        <v>31</v>
      </c>
      <c r="B72" s="44">
        <v>1</v>
      </c>
      <c r="C72" s="44">
        <v>1</v>
      </c>
      <c r="D72" s="44">
        <v>1</v>
      </c>
      <c r="E72" s="44">
        <v>1</v>
      </c>
      <c r="F72" s="44">
        <v>1</v>
      </c>
      <c r="G72" s="44">
        <v>1</v>
      </c>
      <c r="H72" s="44">
        <v>1</v>
      </c>
      <c r="I72" s="44">
        <v>1</v>
      </c>
      <c r="J72" s="44">
        <v>1</v>
      </c>
      <c r="K72" s="44">
        <v>1</v>
      </c>
      <c r="L72" s="44">
        <v>1</v>
      </c>
      <c r="M72" s="44">
        <v>1</v>
      </c>
      <c r="P72" t="s">
        <v>137</v>
      </c>
    </row>
    <row r="73" spans="1:16" x14ac:dyDescent="0.25">
      <c r="A73" s="30" t="s">
        <v>32</v>
      </c>
      <c r="B73" s="44">
        <v>1</v>
      </c>
      <c r="C73" s="44">
        <v>1</v>
      </c>
      <c r="D73" s="44">
        <v>1</v>
      </c>
      <c r="E73" s="44">
        <v>1</v>
      </c>
      <c r="F73" s="44">
        <v>1</v>
      </c>
      <c r="G73" s="44">
        <v>1</v>
      </c>
      <c r="H73" s="44">
        <v>1</v>
      </c>
      <c r="I73" s="44">
        <v>1</v>
      </c>
      <c r="J73" s="44">
        <v>1</v>
      </c>
      <c r="K73" s="44">
        <v>1</v>
      </c>
      <c r="L73" s="44">
        <v>1</v>
      </c>
      <c r="M73" s="44">
        <v>1</v>
      </c>
      <c r="P73" t="s">
        <v>138</v>
      </c>
    </row>
    <row r="74" spans="1:16" x14ac:dyDescent="0.25">
      <c r="A74" s="39" t="s">
        <v>106</v>
      </c>
      <c r="B74" s="44">
        <v>1</v>
      </c>
      <c r="C74" s="44">
        <v>1</v>
      </c>
      <c r="D74" s="44">
        <v>1</v>
      </c>
      <c r="E74" s="44">
        <v>1</v>
      </c>
      <c r="F74" s="44">
        <v>1</v>
      </c>
      <c r="G74" s="44">
        <v>1</v>
      </c>
      <c r="H74" s="44">
        <v>1</v>
      </c>
      <c r="I74" s="44">
        <v>1</v>
      </c>
      <c r="J74" s="44">
        <v>1</v>
      </c>
      <c r="K74" s="44">
        <v>1</v>
      </c>
      <c r="L74" s="44">
        <v>1</v>
      </c>
      <c r="M74" s="44">
        <v>1</v>
      </c>
      <c r="P74" t="s">
        <v>139</v>
      </c>
    </row>
    <row r="75" spans="1:16" x14ac:dyDescent="0.25">
      <c r="A75" s="21" t="s">
        <v>70</v>
      </c>
      <c r="B75" s="42">
        <v>0</v>
      </c>
      <c r="C75" s="42">
        <v>0</v>
      </c>
      <c r="D75" s="42">
        <v>0</v>
      </c>
      <c r="E75" s="42">
        <v>0</v>
      </c>
      <c r="F75" s="42">
        <v>0</v>
      </c>
      <c r="G75" s="42">
        <v>0</v>
      </c>
      <c r="H75" s="42">
        <v>0</v>
      </c>
      <c r="I75" s="42">
        <v>0</v>
      </c>
      <c r="J75" s="42">
        <v>0</v>
      </c>
      <c r="K75" s="42">
        <v>0</v>
      </c>
      <c r="L75" s="42">
        <v>0</v>
      </c>
      <c r="M75" s="42">
        <v>0</v>
      </c>
    </row>
    <row r="76" spans="1:16" x14ac:dyDescent="0.25">
      <c r="A76" s="22" t="s">
        <v>33</v>
      </c>
      <c r="B76" s="42">
        <v>0</v>
      </c>
      <c r="C76" s="42">
        <v>0</v>
      </c>
      <c r="D76" s="42">
        <v>0</v>
      </c>
      <c r="E76" s="42">
        <v>0</v>
      </c>
      <c r="F76" s="42">
        <v>0</v>
      </c>
      <c r="G76" s="42">
        <v>0</v>
      </c>
      <c r="H76" s="42">
        <v>0</v>
      </c>
      <c r="I76" s="42">
        <v>0</v>
      </c>
      <c r="J76" s="42">
        <v>0</v>
      </c>
      <c r="K76" s="42">
        <v>0</v>
      </c>
      <c r="L76" s="42">
        <v>0</v>
      </c>
      <c r="M76" s="42">
        <v>0</v>
      </c>
    </row>
    <row r="77" spans="1:16" x14ac:dyDescent="0.25">
      <c r="A77" s="30" t="s">
        <v>37</v>
      </c>
      <c r="B77" s="44">
        <v>1</v>
      </c>
      <c r="C77" s="44">
        <v>1</v>
      </c>
      <c r="D77" s="44">
        <v>1</v>
      </c>
      <c r="E77" s="44">
        <v>1</v>
      </c>
      <c r="F77" s="44">
        <v>1</v>
      </c>
      <c r="G77" s="44">
        <v>1</v>
      </c>
      <c r="H77" s="44">
        <v>1</v>
      </c>
      <c r="I77" s="44">
        <v>1</v>
      </c>
      <c r="J77" s="44">
        <v>1</v>
      </c>
      <c r="K77" s="44">
        <v>1</v>
      </c>
      <c r="L77" s="44">
        <v>1</v>
      </c>
      <c r="M77" s="44">
        <v>1</v>
      </c>
      <c r="P77" t="s">
        <v>140</v>
      </c>
    </row>
    <row r="78" spans="1:16" x14ac:dyDescent="0.25">
      <c r="A78" s="49" t="s">
        <v>165</v>
      </c>
      <c r="B78" s="50"/>
      <c r="C78" s="50"/>
      <c r="D78" s="50"/>
      <c r="E78" s="50"/>
      <c r="F78" s="50"/>
      <c r="G78" s="50"/>
      <c r="H78" s="50"/>
      <c r="I78" s="50"/>
      <c r="J78" s="50"/>
      <c r="K78" s="50"/>
      <c r="L78" s="50"/>
      <c r="M78" s="50"/>
      <c r="N78" s="33"/>
      <c r="O78" s="33"/>
      <c r="P78" s="33" t="s">
        <v>168</v>
      </c>
    </row>
    <row r="79" spans="1:16" x14ac:dyDescent="0.25">
      <c r="A79" s="49" t="s">
        <v>166</v>
      </c>
      <c r="B79" s="50"/>
      <c r="C79" s="50"/>
      <c r="D79" s="50"/>
      <c r="E79" s="50"/>
      <c r="F79" s="50"/>
      <c r="G79" s="50"/>
      <c r="H79" s="50"/>
      <c r="I79" s="50"/>
      <c r="J79" s="50"/>
      <c r="K79" s="50"/>
      <c r="L79" s="50"/>
      <c r="M79" s="50"/>
      <c r="N79" s="33"/>
      <c r="O79" s="33"/>
      <c r="P79" s="33" t="s">
        <v>167</v>
      </c>
    </row>
  </sheetData>
  <autoFilter ref="A1:M78" xr:uid="{00000000-0009-0000-0000-000001000000}">
    <sortState xmlns:xlrd2="http://schemas.microsoft.com/office/spreadsheetml/2017/richdata2" ref="A2:M75">
      <sortCondition ref="A1:A75"/>
    </sortState>
  </autoFilter>
  <pageMargins left="0.7" right="0.7" top="0.75" bottom="0.75" header="0.3" footer="0.3"/>
  <pageSetup scale="38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77"/>
  <sheetViews>
    <sheetView zoomScale="85" zoomScaleNormal="85" workbookViewId="0">
      <pane xSplit="1" ySplit="1" topLeftCell="B44" activePane="bottomRight" state="frozen"/>
      <selection pane="topRight" activeCell="B1" sqref="B1"/>
      <selection pane="bottomLeft" activeCell="A2" sqref="A2"/>
      <selection pane="bottomRight" activeCell="A47" sqref="A47:M47"/>
    </sheetView>
  </sheetViews>
  <sheetFormatPr defaultRowHeight="15" x14ac:dyDescent="0.25"/>
  <cols>
    <col min="1" max="1" width="80.140625" customWidth="1"/>
    <col min="6" max="7" width="10.140625" bestFit="1" customWidth="1"/>
    <col min="8" max="10" width="10" bestFit="1" customWidth="1"/>
    <col min="14" max="14" width="15.7109375" bestFit="1" customWidth="1"/>
  </cols>
  <sheetData>
    <row r="1" spans="1:14" x14ac:dyDescent="0.25">
      <c r="A1" s="16" t="s">
        <v>12</v>
      </c>
      <c r="B1" s="16" t="s">
        <v>0</v>
      </c>
      <c r="C1" s="16" t="s">
        <v>1</v>
      </c>
      <c r="D1" s="16" t="s">
        <v>2</v>
      </c>
      <c r="E1" s="16" t="s">
        <v>3</v>
      </c>
      <c r="F1" s="16" t="s">
        <v>4</v>
      </c>
      <c r="G1" s="16" t="s">
        <v>5</v>
      </c>
      <c r="H1" s="16" t="s">
        <v>6</v>
      </c>
      <c r="I1" s="16" t="s">
        <v>7</v>
      </c>
      <c r="J1" s="16" t="s">
        <v>8</v>
      </c>
      <c r="K1" s="16" t="s">
        <v>9</v>
      </c>
      <c r="L1" s="16" t="s">
        <v>10</v>
      </c>
      <c r="M1" s="16" t="s">
        <v>11</v>
      </c>
      <c r="N1" s="25" t="s">
        <v>102</v>
      </c>
    </row>
    <row r="2" spans="1:14" x14ac:dyDescent="0.25">
      <c r="A2" s="29" t="s">
        <v>84</v>
      </c>
      <c r="B2" s="27">
        <v>664.73860000000002</v>
      </c>
      <c r="C2" s="17"/>
      <c r="D2" s="17"/>
      <c r="E2" s="27">
        <v>664.73860000000002</v>
      </c>
      <c r="F2" s="17"/>
      <c r="G2" s="17"/>
      <c r="H2" s="18">
        <v>722.54169999999999</v>
      </c>
      <c r="I2" s="17"/>
      <c r="J2" s="17"/>
      <c r="K2" s="27">
        <v>707.55579999999998</v>
      </c>
      <c r="L2" s="17"/>
      <c r="M2" s="17"/>
      <c r="N2" s="3" t="s">
        <v>99</v>
      </c>
    </row>
    <row r="3" spans="1:14" x14ac:dyDescent="0.25">
      <c r="A3" s="30" t="s">
        <v>21</v>
      </c>
      <c r="B3" s="26">
        <v>664.73860000000002</v>
      </c>
      <c r="C3" s="18">
        <v>674.37260000000003</v>
      </c>
      <c r="D3" s="18">
        <v>674.45270000000005</v>
      </c>
      <c r="E3" s="26">
        <v>664.73860000000002</v>
      </c>
      <c r="F3" s="18">
        <v>697.92200000000003</v>
      </c>
      <c r="G3" s="18">
        <v>674.37</v>
      </c>
      <c r="I3" s="18">
        <v>722.54200000000003</v>
      </c>
      <c r="J3" s="18">
        <v>722.54200000000003</v>
      </c>
      <c r="K3" s="26">
        <v>707.55579999999998</v>
      </c>
      <c r="L3" s="18">
        <v>722.54200000000003</v>
      </c>
      <c r="M3" s="18">
        <v>686.1472</v>
      </c>
      <c r="N3" s="5" t="s">
        <v>100</v>
      </c>
    </row>
    <row r="4" spans="1:14" x14ac:dyDescent="0.25">
      <c r="A4" s="27" t="s">
        <v>75</v>
      </c>
      <c r="B4" s="27"/>
      <c r="C4" s="27"/>
      <c r="D4" s="27"/>
      <c r="E4" s="27"/>
      <c r="F4" s="18">
        <v>1586.4070999999999</v>
      </c>
      <c r="G4" s="27"/>
      <c r="H4" s="27"/>
      <c r="I4" s="27"/>
      <c r="J4" s="27"/>
      <c r="K4" s="27"/>
      <c r="L4" s="27"/>
      <c r="M4" s="27"/>
      <c r="N4" s="33" t="s">
        <v>104</v>
      </c>
    </row>
    <row r="5" spans="1:14" x14ac:dyDescent="0.25">
      <c r="A5" s="32" t="s">
        <v>43</v>
      </c>
      <c r="B5" s="27"/>
      <c r="C5" s="18">
        <v>2156.9211</v>
      </c>
      <c r="D5" s="18">
        <v>2156.9209999999998</v>
      </c>
      <c r="E5" s="27"/>
      <c r="F5" s="18">
        <v>1845.4253000000001</v>
      </c>
      <c r="G5" s="18">
        <v>1845.4253000000001</v>
      </c>
      <c r="H5" s="27"/>
      <c r="I5" s="18">
        <v>1955.6802</v>
      </c>
      <c r="J5" s="18">
        <v>1955.6802</v>
      </c>
      <c r="K5" s="27"/>
      <c r="L5" s="18">
        <v>1955.6802</v>
      </c>
      <c r="M5" s="18">
        <v>1955.6802</v>
      </c>
      <c r="N5" s="41" t="s">
        <v>107</v>
      </c>
    </row>
    <row r="6" spans="1:14" x14ac:dyDescent="0.25">
      <c r="A6" s="21" t="s">
        <v>71</v>
      </c>
      <c r="B6" s="17" t="s">
        <v>101</v>
      </c>
      <c r="C6" s="17" t="s">
        <v>101</v>
      </c>
      <c r="D6" s="17" t="s">
        <v>101</v>
      </c>
      <c r="E6" s="18">
        <v>134.87459999999999</v>
      </c>
      <c r="F6" s="18">
        <v>134.87459999999999</v>
      </c>
      <c r="G6" s="18">
        <v>134.87459999999999</v>
      </c>
      <c r="H6" s="17" t="s">
        <v>101</v>
      </c>
      <c r="I6" s="17" t="s">
        <v>101</v>
      </c>
      <c r="J6" s="17" t="s">
        <v>101</v>
      </c>
      <c r="K6" s="27"/>
      <c r="L6" s="27"/>
      <c r="M6" s="27"/>
    </row>
    <row r="7" spans="1:14" x14ac:dyDescent="0.25">
      <c r="A7" s="31" t="s">
        <v>92</v>
      </c>
      <c r="B7" s="17" t="s">
        <v>101</v>
      </c>
      <c r="C7" s="17" t="s">
        <v>101</v>
      </c>
      <c r="D7" s="17" t="s">
        <v>101</v>
      </c>
      <c r="E7" s="27"/>
      <c r="F7" s="27"/>
      <c r="G7" s="27"/>
      <c r="H7" s="17" t="s">
        <v>101</v>
      </c>
      <c r="I7" s="17" t="s">
        <v>101</v>
      </c>
      <c r="J7" s="17" t="s">
        <v>101</v>
      </c>
      <c r="K7" s="18">
        <v>3770.5324000000001</v>
      </c>
      <c r="L7" s="18">
        <v>3770.5324000000001</v>
      </c>
      <c r="M7" s="18">
        <v>3770.5324000000001</v>
      </c>
    </row>
    <row r="8" spans="1:14" x14ac:dyDescent="0.25">
      <c r="A8" s="31" t="s">
        <v>93</v>
      </c>
      <c r="B8" s="17" t="s">
        <v>101</v>
      </c>
      <c r="C8" s="17" t="s">
        <v>101</v>
      </c>
      <c r="D8" s="17" t="s">
        <v>101</v>
      </c>
      <c r="E8" s="27"/>
      <c r="F8" s="27"/>
      <c r="G8" s="27"/>
      <c r="H8" s="17" t="s">
        <v>101</v>
      </c>
      <c r="I8" s="17" t="s">
        <v>101</v>
      </c>
      <c r="J8" s="17" t="s">
        <v>101</v>
      </c>
      <c r="K8" s="18">
        <v>4029.1079</v>
      </c>
      <c r="L8" s="18">
        <v>4029.1079</v>
      </c>
      <c r="M8" s="18">
        <v>4029.1079</v>
      </c>
    </row>
    <row r="9" spans="1:14" x14ac:dyDescent="0.25">
      <c r="A9" s="27" t="s">
        <v>72</v>
      </c>
      <c r="B9" s="17" t="s">
        <v>101</v>
      </c>
      <c r="C9" s="17" t="s">
        <v>101</v>
      </c>
      <c r="D9" s="17" t="s">
        <v>101</v>
      </c>
      <c r="E9" s="18">
        <v>245.22640000000001</v>
      </c>
      <c r="F9" s="18">
        <v>245.22640000000001</v>
      </c>
      <c r="G9" s="18">
        <v>245.22640000000001</v>
      </c>
      <c r="H9" s="17" t="s">
        <v>101</v>
      </c>
      <c r="I9" s="17" t="s">
        <v>101</v>
      </c>
      <c r="J9" s="17" t="s">
        <v>101</v>
      </c>
      <c r="K9" s="27"/>
      <c r="L9" s="27"/>
      <c r="M9" s="27"/>
      <c r="N9" s="25"/>
    </row>
    <row r="10" spans="1:14" x14ac:dyDescent="0.25">
      <c r="A10" s="27" t="s">
        <v>77</v>
      </c>
      <c r="B10" s="17" t="s">
        <v>101</v>
      </c>
      <c r="C10" s="17" t="s">
        <v>101</v>
      </c>
      <c r="D10" s="17" t="s">
        <v>101</v>
      </c>
      <c r="E10" s="17" t="s">
        <v>101</v>
      </c>
      <c r="F10" s="18">
        <v>1095.1983</v>
      </c>
      <c r="G10" s="18">
        <v>1095.1983</v>
      </c>
      <c r="H10" s="17" t="s">
        <v>101</v>
      </c>
      <c r="I10" s="17" t="s">
        <v>101</v>
      </c>
      <c r="J10" s="17" t="s">
        <v>101</v>
      </c>
      <c r="K10" s="17" t="s">
        <v>101</v>
      </c>
      <c r="L10" s="27"/>
      <c r="M10" s="27"/>
      <c r="N10" s="25"/>
    </row>
    <row r="11" spans="1:14" x14ac:dyDescent="0.25">
      <c r="A11" s="27" t="s">
        <v>73</v>
      </c>
      <c r="B11" s="17" t="s">
        <v>101</v>
      </c>
      <c r="C11" s="17" t="s">
        <v>101</v>
      </c>
      <c r="D11" s="17" t="s">
        <v>101</v>
      </c>
      <c r="E11" s="26">
        <v>6014.7604000000001</v>
      </c>
      <c r="F11" s="18">
        <v>6014.7604000000001</v>
      </c>
      <c r="G11" s="18">
        <v>6014.7604000000001</v>
      </c>
      <c r="H11" s="17" t="s">
        <v>101</v>
      </c>
      <c r="I11" s="17" t="s">
        <v>101</v>
      </c>
      <c r="J11" s="17" t="s">
        <v>101</v>
      </c>
      <c r="K11" s="17" t="s">
        <v>101</v>
      </c>
      <c r="L11" s="27"/>
      <c r="M11" s="27"/>
      <c r="N11" s="25"/>
    </row>
    <row r="12" spans="1:14" x14ac:dyDescent="0.25">
      <c r="A12" s="27" t="s">
        <v>78</v>
      </c>
      <c r="B12" s="17" t="s">
        <v>101</v>
      </c>
      <c r="C12" s="17" t="s">
        <v>101</v>
      </c>
      <c r="D12" s="17" t="s">
        <v>101</v>
      </c>
      <c r="E12" s="17" t="s">
        <v>101</v>
      </c>
      <c r="F12" s="18">
        <v>10665.7891</v>
      </c>
      <c r="G12" s="18">
        <v>10665.7891</v>
      </c>
      <c r="H12" s="17" t="s">
        <v>101</v>
      </c>
      <c r="I12" s="17" t="s">
        <v>101</v>
      </c>
      <c r="J12" s="17" t="s">
        <v>101</v>
      </c>
      <c r="K12" s="17" t="s">
        <v>101</v>
      </c>
      <c r="L12" s="27"/>
      <c r="M12" s="27"/>
      <c r="N12" s="25"/>
    </row>
    <row r="13" spans="1:14" x14ac:dyDescent="0.25">
      <c r="A13" s="27" t="s">
        <v>79</v>
      </c>
      <c r="B13" s="17" t="s">
        <v>101</v>
      </c>
      <c r="C13" s="17" t="s">
        <v>101</v>
      </c>
      <c r="D13" s="17" t="s">
        <v>101</v>
      </c>
      <c r="E13" s="17" t="s">
        <v>101</v>
      </c>
      <c r="F13" s="18">
        <v>15378.902599999999</v>
      </c>
      <c r="G13" s="18">
        <v>15378.902599999999</v>
      </c>
      <c r="H13" s="17" t="s">
        <v>101</v>
      </c>
      <c r="I13" s="17" t="s">
        <v>101</v>
      </c>
      <c r="J13" s="17" t="s">
        <v>101</v>
      </c>
      <c r="K13" s="17" t="s">
        <v>101</v>
      </c>
      <c r="L13" s="27"/>
      <c r="M13" s="27"/>
      <c r="N13" s="25"/>
    </row>
    <row r="14" spans="1:14" x14ac:dyDescent="0.25">
      <c r="A14" s="27" t="s">
        <v>80</v>
      </c>
      <c r="B14" s="17" t="s">
        <v>101</v>
      </c>
      <c r="C14" s="17" t="s">
        <v>101</v>
      </c>
      <c r="D14" s="17" t="s">
        <v>101</v>
      </c>
      <c r="E14" s="17" t="s">
        <v>101</v>
      </c>
      <c r="F14" s="18">
        <v>13016.458000000001</v>
      </c>
      <c r="G14" s="18">
        <v>13016.458000000001</v>
      </c>
      <c r="H14" s="17" t="s">
        <v>101</v>
      </c>
      <c r="I14" s="17" t="s">
        <v>101</v>
      </c>
      <c r="J14" s="17" t="s">
        <v>101</v>
      </c>
      <c r="K14" s="17" t="s">
        <v>101</v>
      </c>
      <c r="L14" s="27"/>
      <c r="M14" s="27"/>
      <c r="N14" s="25"/>
    </row>
    <row r="15" spans="1:14" x14ac:dyDescent="0.25">
      <c r="A15" s="24" t="s">
        <v>44</v>
      </c>
      <c r="B15" s="21"/>
      <c r="C15" s="28">
        <v>-226.93170000000001</v>
      </c>
      <c r="D15" s="28">
        <v>-226.93170000000001</v>
      </c>
      <c r="E15" s="21"/>
      <c r="F15" s="21"/>
      <c r="G15" s="21"/>
      <c r="H15" s="21"/>
      <c r="I15" s="21"/>
      <c r="J15" s="21"/>
      <c r="K15" s="21"/>
      <c r="L15" s="21"/>
      <c r="M15" s="21"/>
    </row>
    <row r="16" spans="1:14" x14ac:dyDescent="0.25">
      <c r="A16" s="32" t="s">
        <v>47</v>
      </c>
      <c r="B16" s="17" t="s">
        <v>101</v>
      </c>
      <c r="C16" s="18">
        <v>4836.3503000000001</v>
      </c>
      <c r="D16" s="27"/>
      <c r="E16" s="17"/>
      <c r="F16" s="18">
        <v>4836.3503000000001</v>
      </c>
      <c r="G16" s="27"/>
      <c r="H16" s="17"/>
      <c r="I16" s="18">
        <v>4836.3503000000001</v>
      </c>
      <c r="J16" s="18">
        <v>4836.3503000000001</v>
      </c>
      <c r="K16" s="17"/>
      <c r="L16" s="18">
        <v>4836.3503000000001</v>
      </c>
      <c r="M16" s="27"/>
    </row>
    <row r="17" spans="1:13" x14ac:dyDescent="0.25">
      <c r="A17" s="32" t="s">
        <v>48</v>
      </c>
      <c r="B17" s="17" t="s">
        <v>101</v>
      </c>
      <c r="C17" s="18">
        <v>9320.3974999999991</v>
      </c>
      <c r="D17" s="27"/>
      <c r="E17" s="17"/>
      <c r="F17" s="18">
        <v>9320.3974999999991</v>
      </c>
      <c r="G17" s="27"/>
      <c r="H17" s="17"/>
      <c r="I17" s="18">
        <v>9320.3974999999991</v>
      </c>
      <c r="J17" s="18">
        <v>9320.3974999999991</v>
      </c>
      <c r="K17" s="17"/>
      <c r="L17" s="18">
        <v>9320.3974999999991</v>
      </c>
      <c r="M17" s="27"/>
    </row>
    <row r="18" spans="1:13" x14ac:dyDescent="0.25">
      <c r="A18" s="32" t="s">
        <v>49</v>
      </c>
      <c r="B18" s="27" t="s">
        <v>101</v>
      </c>
      <c r="C18" s="18">
        <v>6901.0781999999999</v>
      </c>
      <c r="D18" s="27"/>
      <c r="E18" s="27"/>
      <c r="F18" s="18">
        <v>6901.0781999999999</v>
      </c>
      <c r="G18" s="27"/>
      <c r="H18" s="27"/>
      <c r="I18" s="18">
        <v>6901.0781999999999</v>
      </c>
      <c r="J18" s="18">
        <v>6901.0781999999999</v>
      </c>
      <c r="K18" s="27"/>
      <c r="L18" s="18">
        <v>6901.0781999999999</v>
      </c>
      <c r="M18" s="27"/>
    </row>
    <row r="19" spans="1:13" x14ac:dyDescent="0.25">
      <c r="A19" s="32" t="s">
        <v>50</v>
      </c>
      <c r="B19" s="27" t="s">
        <v>101</v>
      </c>
      <c r="C19" s="18">
        <v>1237.4199000000001</v>
      </c>
      <c r="D19" s="18">
        <v>1237.4199000000001</v>
      </c>
      <c r="E19" s="27"/>
      <c r="F19" s="18">
        <v>1237.4199000000001</v>
      </c>
      <c r="G19" s="18">
        <v>1237.4199000000001</v>
      </c>
      <c r="H19" s="18">
        <v>1237.4199000000001</v>
      </c>
      <c r="I19" s="18">
        <v>1237.4199000000001</v>
      </c>
      <c r="J19" s="18">
        <v>1237.4199000000001</v>
      </c>
      <c r="K19" s="27"/>
      <c r="L19" s="18">
        <v>1237.4199000000001</v>
      </c>
      <c r="M19" s="18">
        <v>1237.4199000000001</v>
      </c>
    </row>
    <row r="20" spans="1:13" x14ac:dyDescent="0.25">
      <c r="A20" s="29" t="s">
        <v>85</v>
      </c>
      <c r="B20" s="17" t="s">
        <v>101</v>
      </c>
      <c r="C20" s="17" t="s">
        <v>101</v>
      </c>
      <c r="D20" s="17" t="s">
        <v>101</v>
      </c>
      <c r="E20" s="17" t="s">
        <v>101</v>
      </c>
      <c r="F20" s="17" t="s">
        <v>101</v>
      </c>
      <c r="G20" s="17" t="s">
        <v>101</v>
      </c>
      <c r="H20" s="18">
        <v>194.81870000000001</v>
      </c>
      <c r="I20" s="18">
        <v>194.81870000000001</v>
      </c>
      <c r="J20" s="18">
        <v>194.81870000000001</v>
      </c>
      <c r="K20" s="17" t="s">
        <v>101</v>
      </c>
      <c r="L20" s="17" t="s">
        <v>101</v>
      </c>
      <c r="M20" s="17" t="s">
        <v>101</v>
      </c>
    </row>
    <row r="21" spans="1:13" x14ac:dyDescent="0.25">
      <c r="A21" s="29" t="s">
        <v>89</v>
      </c>
      <c r="B21" s="17" t="s">
        <v>101</v>
      </c>
      <c r="C21" s="17" t="s">
        <v>101</v>
      </c>
      <c r="D21" s="17" t="s">
        <v>101</v>
      </c>
      <c r="E21" s="27"/>
      <c r="F21" s="27"/>
      <c r="G21" s="27"/>
      <c r="H21" s="17" t="s">
        <v>101</v>
      </c>
      <c r="I21" s="17" t="s">
        <v>101</v>
      </c>
      <c r="J21" s="17" t="s">
        <v>101</v>
      </c>
      <c r="K21" s="18">
        <v>758.9366</v>
      </c>
      <c r="L21" s="18">
        <v>758.9366</v>
      </c>
      <c r="M21" s="18">
        <v>758.9366</v>
      </c>
    </row>
    <row r="22" spans="1:13" x14ac:dyDescent="0.25">
      <c r="A22" s="32" t="s">
        <v>51</v>
      </c>
      <c r="B22" s="27" t="s">
        <v>101</v>
      </c>
      <c r="C22" s="18">
        <v>1151.7854</v>
      </c>
      <c r="D22" s="18">
        <v>1151.7854</v>
      </c>
      <c r="E22" s="27" t="s">
        <v>101</v>
      </c>
      <c r="F22" s="18">
        <v>1151.7854</v>
      </c>
      <c r="G22" s="18">
        <v>1151.7854</v>
      </c>
      <c r="H22" s="17" t="s">
        <v>101</v>
      </c>
      <c r="I22" s="17" t="s">
        <v>101</v>
      </c>
      <c r="J22" s="17" t="s">
        <v>101</v>
      </c>
      <c r="K22" s="17" t="s">
        <v>101</v>
      </c>
      <c r="L22" s="17" t="s">
        <v>101</v>
      </c>
      <c r="M22" s="17" t="s">
        <v>101</v>
      </c>
    </row>
    <row r="23" spans="1:13" x14ac:dyDescent="0.25">
      <c r="A23" s="30" t="s">
        <v>22</v>
      </c>
      <c r="B23" s="18">
        <v>1074.7141999999999</v>
      </c>
      <c r="C23" s="18">
        <v>1193.5319999999999</v>
      </c>
      <c r="D23" s="18">
        <v>1193.5319999999999</v>
      </c>
      <c r="E23" s="18">
        <v>1286.6597999999999</v>
      </c>
      <c r="F23" s="18">
        <v>1415.1117999999999</v>
      </c>
      <c r="G23" s="18">
        <v>1415.1110000000001</v>
      </c>
      <c r="H23" s="27"/>
      <c r="I23" s="18">
        <v>1243.8420000000001</v>
      </c>
      <c r="J23" s="18">
        <v>1243.8425999999999</v>
      </c>
      <c r="K23" s="18">
        <v>1158.2070000000001</v>
      </c>
      <c r="L23" s="18">
        <v>1372.2943</v>
      </c>
      <c r="M23" s="18">
        <v>1372.2943</v>
      </c>
    </row>
    <row r="24" spans="1:13" x14ac:dyDescent="0.25">
      <c r="A24" s="30" t="s">
        <v>14</v>
      </c>
      <c r="B24" s="18">
        <v>644.40039999999999</v>
      </c>
      <c r="C24" s="18">
        <v>644.40039999999999</v>
      </c>
      <c r="D24" s="18">
        <v>644.40039999999999</v>
      </c>
      <c r="E24" s="18">
        <v>644.40039999999999</v>
      </c>
      <c r="F24" s="18">
        <v>644.40039999999999</v>
      </c>
      <c r="G24" s="18">
        <v>644.40039999999999</v>
      </c>
      <c r="H24" s="18">
        <v>644.40039999999999</v>
      </c>
      <c r="I24" s="18">
        <v>644.40039999999999</v>
      </c>
      <c r="J24" s="18">
        <v>644.40039999999999</v>
      </c>
      <c r="K24" s="18">
        <v>644.40039999999999</v>
      </c>
      <c r="L24" s="18">
        <v>644.40039999999999</v>
      </c>
      <c r="M24" s="18">
        <v>644.40039999999999</v>
      </c>
    </row>
    <row r="25" spans="1:13" x14ac:dyDescent="0.25">
      <c r="A25" s="31" t="s">
        <v>94</v>
      </c>
      <c r="B25" s="17" t="s">
        <v>101</v>
      </c>
      <c r="C25" s="17" t="s">
        <v>101</v>
      </c>
      <c r="D25" s="17" t="s">
        <v>101</v>
      </c>
      <c r="E25" s="17" t="s">
        <v>101</v>
      </c>
      <c r="F25" s="17" t="s">
        <v>101</v>
      </c>
      <c r="G25" s="17" t="s">
        <v>101</v>
      </c>
      <c r="H25" s="17" t="s">
        <v>101</v>
      </c>
      <c r="I25" s="17" t="s">
        <v>101</v>
      </c>
      <c r="J25" s="17" t="s">
        <v>101</v>
      </c>
      <c r="K25" s="18">
        <v>-204.05670000000001</v>
      </c>
      <c r="L25" s="18">
        <v>-204.05670000000001</v>
      </c>
      <c r="M25" s="18">
        <v>-204.05670000000001</v>
      </c>
    </row>
    <row r="26" spans="1:13" x14ac:dyDescent="0.25">
      <c r="A26" s="31" t="s">
        <v>96</v>
      </c>
      <c r="B26" s="17" t="s">
        <v>101</v>
      </c>
      <c r="C26" s="17" t="s">
        <v>101</v>
      </c>
      <c r="D26" s="17" t="s">
        <v>101</v>
      </c>
      <c r="E26" s="17" t="s">
        <v>101</v>
      </c>
      <c r="F26" s="17" t="s">
        <v>101</v>
      </c>
      <c r="G26" s="17" t="s">
        <v>101</v>
      </c>
      <c r="H26" s="17" t="s">
        <v>101</v>
      </c>
      <c r="I26" s="17" t="s">
        <v>101</v>
      </c>
      <c r="J26" s="17" t="s">
        <v>101</v>
      </c>
      <c r="K26" s="27"/>
      <c r="L26" s="18">
        <v>0</v>
      </c>
      <c r="M26" s="27"/>
    </row>
    <row r="27" spans="1:13" x14ac:dyDescent="0.25">
      <c r="A27" s="34" t="s">
        <v>95</v>
      </c>
      <c r="B27" s="17" t="s">
        <v>101</v>
      </c>
      <c r="C27" s="17" t="s">
        <v>101</v>
      </c>
      <c r="D27" s="17" t="s">
        <v>101</v>
      </c>
      <c r="E27" s="17" t="s">
        <v>101</v>
      </c>
      <c r="F27" s="17" t="s">
        <v>101</v>
      </c>
      <c r="G27" s="17" t="s">
        <v>101</v>
      </c>
      <c r="H27" s="17" t="s">
        <v>101</v>
      </c>
      <c r="I27" s="17" t="s">
        <v>101</v>
      </c>
      <c r="J27" s="17" t="s">
        <v>101</v>
      </c>
      <c r="K27" s="26">
        <v>0</v>
      </c>
      <c r="L27" s="17" t="s">
        <v>101</v>
      </c>
      <c r="M27" s="26">
        <v>0</v>
      </c>
    </row>
    <row r="28" spans="1:13" x14ac:dyDescent="0.25">
      <c r="A28" s="22" t="s">
        <v>15</v>
      </c>
      <c r="B28" s="26">
        <v>1356.2379000000001</v>
      </c>
      <c r="C28" s="17" t="s">
        <v>101</v>
      </c>
      <c r="D28" s="17" t="s">
        <v>101</v>
      </c>
      <c r="E28" s="26">
        <v>1356.2379000000001</v>
      </c>
      <c r="F28" s="17" t="s">
        <v>101</v>
      </c>
      <c r="G28" s="17" t="s">
        <v>101</v>
      </c>
      <c r="H28" s="17" t="s">
        <v>101</v>
      </c>
      <c r="I28" s="17" t="s">
        <v>101</v>
      </c>
      <c r="J28" s="17" t="s">
        <v>101</v>
      </c>
      <c r="K28" s="17" t="s">
        <v>101</v>
      </c>
      <c r="L28" s="17" t="s">
        <v>101</v>
      </c>
      <c r="M28" s="17" t="s">
        <v>101</v>
      </c>
    </row>
    <row r="29" spans="1:13" x14ac:dyDescent="0.25">
      <c r="A29" s="20" t="s">
        <v>90</v>
      </c>
      <c r="B29" s="17"/>
      <c r="C29" s="17"/>
      <c r="D29" s="17"/>
      <c r="E29" s="17" t="s">
        <v>101</v>
      </c>
      <c r="F29" s="17" t="s">
        <v>101</v>
      </c>
      <c r="G29" s="17" t="s">
        <v>101</v>
      </c>
      <c r="H29" s="17" t="s">
        <v>101</v>
      </c>
      <c r="I29" s="17" t="s">
        <v>101</v>
      </c>
      <c r="J29" s="17" t="s">
        <v>101</v>
      </c>
      <c r="K29" s="18">
        <v>559.84820000000002</v>
      </c>
      <c r="L29" s="18">
        <v>559.84820000000002</v>
      </c>
      <c r="M29" s="18">
        <v>559.84820000000002</v>
      </c>
    </row>
    <row r="30" spans="1:13" x14ac:dyDescent="0.25">
      <c r="A30" s="21" t="s">
        <v>81</v>
      </c>
      <c r="B30" s="17" t="s">
        <v>101</v>
      </c>
      <c r="C30" s="17" t="s">
        <v>101</v>
      </c>
      <c r="D30" s="17" t="s">
        <v>101</v>
      </c>
      <c r="E30" s="17"/>
      <c r="F30" s="18">
        <v>879.15030000000002</v>
      </c>
      <c r="G30" s="17"/>
      <c r="H30" s="17" t="s">
        <v>101</v>
      </c>
      <c r="I30" s="17" t="s">
        <v>101</v>
      </c>
      <c r="J30" s="17" t="s">
        <v>101</v>
      </c>
      <c r="K30" s="17"/>
      <c r="L30" s="17"/>
      <c r="M30" s="17"/>
    </row>
    <row r="31" spans="1:13" x14ac:dyDescent="0.25">
      <c r="A31" s="35" t="s">
        <v>103</v>
      </c>
      <c r="B31" s="17" t="s">
        <v>101</v>
      </c>
      <c r="C31" s="17" t="s">
        <v>101</v>
      </c>
      <c r="D31" s="17" t="s">
        <v>101</v>
      </c>
      <c r="E31" s="27"/>
      <c r="F31" s="18"/>
      <c r="G31" s="27"/>
      <c r="H31" s="17" t="s">
        <v>101</v>
      </c>
      <c r="I31" s="17" t="s">
        <v>101</v>
      </c>
      <c r="J31" s="17" t="s">
        <v>101</v>
      </c>
      <c r="K31" s="27"/>
      <c r="L31" s="27"/>
      <c r="M31" s="27"/>
    </row>
    <row r="32" spans="1:13" x14ac:dyDescent="0.25">
      <c r="A32" s="32" t="s">
        <v>46</v>
      </c>
      <c r="B32" s="18">
        <v>313.12189999999998</v>
      </c>
      <c r="C32" s="18">
        <v>313.12189999999998</v>
      </c>
      <c r="D32" s="18">
        <v>313.12189999999998</v>
      </c>
      <c r="E32" s="18">
        <v>313.12189999999998</v>
      </c>
      <c r="F32" s="18">
        <v>313.12189999999998</v>
      </c>
      <c r="G32" s="18">
        <v>313.12189999999998</v>
      </c>
      <c r="H32" s="18">
        <v>313.12189999999998</v>
      </c>
      <c r="I32" s="18">
        <v>313.12189999999998</v>
      </c>
      <c r="J32" s="18">
        <v>313.12189999999998</v>
      </c>
      <c r="K32" s="18">
        <v>313.12189999999998</v>
      </c>
      <c r="L32" s="18">
        <v>313.12189999999998</v>
      </c>
      <c r="M32" s="18">
        <v>313.12189999999998</v>
      </c>
    </row>
    <row r="33" spans="1:13" x14ac:dyDescent="0.25">
      <c r="A33" s="22" t="s">
        <v>26</v>
      </c>
      <c r="B33" s="36">
        <v>313.12189999999998</v>
      </c>
      <c r="C33" s="36"/>
      <c r="D33" s="36">
        <v>313.12189999999998</v>
      </c>
      <c r="E33" s="36">
        <v>313.12189999999998</v>
      </c>
      <c r="F33" s="36">
        <v>313.12189999999998</v>
      </c>
      <c r="G33" s="37"/>
      <c r="H33" s="36">
        <v>313.12189999999998</v>
      </c>
      <c r="I33" s="36">
        <v>313.12189999999998</v>
      </c>
      <c r="J33" s="37"/>
      <c r="K33" s="36">
        <v>313.12189999999998</v>
      </c>
      <c r="L33" s="36">
        <v>313.12189999999998</v>
      </c>
      <c r="M33" s="17"/>
    </row>
    <row r="34" spans="1:13" x14ac:dyDescent="0.25">
      <c r="A34" s="30" t="s">
        <v>16</v>
      </c>
      <c r="B34" s="18">
        <v>218.3441</v>
      </c>
      <c r="C34" s="18">
        <v>218.3441</v>
      </c>
      <c r="D34" s="18">
        <v>218.3441</v>
      </c>
      <c r="E34" s="18">
        <v>218.3441</v>
      </c>
      <c r="F34" s="18">
        <v>218.3441</v>
      </c>
      <c r="G34" s="18">
        <v>218.3441</v>
      </c>
      <c r="H34" s="18">
        <v>218.3441</v>
      </c>
      <c r="I34" s="18">
        <v>218.3441</v>
      </c>
      <c r="J34" s="18">
        <v>218.3441</v>
      </c>
      <c r="K34" s="18">
        <v>218.3441</v>
      </c>
      <c r="L34" s="18">
        <v>218.3441</v>
      </c>
      <c r="M34" s="18">
        <v>218.3441</v>
      </c>
    </row>
    <row r="35" spans="1:13" x14ac:dyDescent="0.25">
      <c r="A35" s="24" t="s">
        <v>62</v>
      </c>
      <c r="B35" s="17"/>
      <c r="C35" s="17"/>
      <c r="D35" s="18">
        <v>4743.2259999999997</v>
      </c>
      <c r="E35" s="17"/>
      <c r="F35" s="17"/>
      <c r="G35" s="18">
        <v>4743.2259999999997</v>
      </c>
      <c r="H35" s="17"/>
      <c r="I35" s="17"/>
      <c r="J35" s="17"/>
      <c r="K35" s="17"/>
      <c r="L35" s="17"/>
      <c r="M35" s="18">
        <v>4743.2259999999997</v>
      </c>
    </row>
    <row r="36" spans="1:13" x14ac:dyDescent="0.25">
      <c r="A36" s="24" t="s">
        <v>63</v>
      </c>
      <c r="B36" s="17"/>
      <c r="C36" s="17"/>
      <c r="D36" s="18">
        <v>9227.1419999999998</v>
      </c>
      <c r="E36" s="17"/>
      <c r="F36" s="17"/>
      <c r="G36" s="18">
        <v>9227.1419999999998</v>
      </c>
      <c r="H36" s="17"/>
      <c r="I36" s="17"/>
      <c r="J36" s="17"/>
      <c r="K36" s="17"/>
      <c r="L36" s="17"/>
      <c r="M36" s="18">
        <v>9227.1419999999998</v>
      </c>
    </row>
    <row r="37" spans="1:13" x14ac:dyDescent="0.25">
      <c r="A37" s="30" t="s">
        <v>38</v>
      </c>
      <c r="B37" s="18">
        <v>4854.4114</v>
      </c>
      <c r="C37" s="18">
        <v>4854.4114</v>
      </c>
      <c r="D37" s="18">
        <v>4854.4114</v>
      </c>
      <c r="E37" s="18">
        <v>4854.4114</v>
      </c>
      <c r="F37" s="18">
        <v>4854.4114</v>
      </c>
      <c r="G37" s="18">
        <v>4854.4114</v>
      </c>
      <c r="H37" s="18">
        <v>4854.4114</v>
      </c>
      <c r="I37" s="18">
        <v>4854.4114</v>
      </c>
      <c r="J37" s="18">
        <v>4854.4114</v>
      </c>
      <c r="K37" s="18">
        <v>4854.4114</v>
      </c>
      <c r="L37" s="18">
        <v>4854.4114</v>
      </c>
      <c r="M37" s="18">
        <v>4854.4114</v>
      </c>
    </row>
    <row r="38" spans="1:13" x14ac:dyDescent="0.25">
      <c r="A38" s="32" t="s">
        <v>52</v>
      </c>
      <c r="B38" s="17"/>
      <c r="C38" s="18">
        <v>2916.2334000000001</v>
      </c>
      <c r="D38" s="18">
        <v>2916.2334000000001</v>
      </c>
      <c r="E38" s="17"/>
      <c r="F38" s="18">
        <v>2916.2334000000001</v>
      </c>
      <c r="G38" s="18">
        <v>2916.2334000000001</v>
      </c>
      <c r="H38" s="17"/>
      <c r="I38" s="18">
        <v>2916.2334000000001</v>
      </c>
      <c r="J38" s="18">
        <v>2916.2334000000001</v>
      </c>
      <c r="K38" s="17"/>
      <c r="L38" s="18">
        <v>2916.2334000000001</v>
      </c>
      <c r="M38" s="18">
        <v>2916.2334000000001</v>
      </c>
    </row>
    <row r="39" spans="1:13" x14ac:dyDescent="0.25">
      <c r="A39" s="23" t="s">
        <v>86</v>
      </c>
      <c r="B39" s="27"/>
      <c r="C39" s="17"/>
      <c r="D39" s="17"/>
      <c r="E39" s="27"/>
      <c r="F39" s="17"/>
      <c r="G39" s="17"/>
      <c r="H39" s="18">
        <v>2845.2094999999999</v>
      </c>
      <c r="I39" s="17"/>
      <c r="J39" s="17"/>
      <c r="K39" s="27"/>
      <c r="L39" s="17"/>
      <c r="M39" s="17"/>
    </row>
    <row r="40" spans="1:13" x14ac:dyDescent="0.25">
      <c r="A40" s="30" t="s">
        <v>39</v>
      </c>
      <c r="B40" s="18">
        <v>973.48170000000005</v>
      </c>
      <c r="C40" s="17"/>
      <c r="D40" s="17"/>
      <c r="E40" s="18">
        <v>973.48170000000005</v>
      </c>
      <c r="F40" s="17"/>
      <c r="G40" s="17"/>
      <c r="H40" s="18">
        <v>973.48170000000005</v>
      </c>
      <c r="I40" s="17"/>
      <c r="J40" s="17"/>
      <c r="K40" s="18">
        <v>973.48170000000005</v>
      </c>
      <c r="L40" s="17"/>
      <c r="M40" s="17"/>
    </row>
    <row r="41" spans="1:13" x14ac:dyDescent="0.25">
      <c r="A41" s="32" t="s">
        <v>53</v>
      </c>
      <c r="B41" s="17"/>
      <c r="C41" s="18">
        <v>1460.2425000000001</v>
      </c>
      <c r="D41" s="18">
        <v>1460.2425000000001</v>
      </c>
      <c r="E41" s="17"/>
      <c r="F41" s="18">
        <v>1460.2425000000001</v>
      </c>
      <c r="G41" s="18">
        <v>1460.2425000000001</v>
      </c>
      <c r="H41" s="17"/>
      <c r="I41" s="18">
        <v>1460.2425000000001</v>
      </c>
      <c r="J41" s="18">
        <v>1460.2425000000001</v>
      </c>
      <c r="K41" s="17"/>
      <c r="L41" s="18">
        <v>1460.2425000000001</v>
      </c>
      <c r="M41" s="18">
        <v>1460.2425000000001</v>
      </c>
    </row>
    <row r="42" spans="1:13" x14ac:dyDescent="0.25">
      <c r="A42" s="30" t="s">
        <v>40</v>
      </c>
      <c r="B42" s="18">
        <v>1944.1686999999999</v>
      </c>
      <c r="C42" s="17"/>
      <c r="D42" s="17"/>
      <c r="E42" s="18">
        <v>1944.1686999999999</v>
      </c>
      <c r="F42" s="17"/>
      <c r="G42" s="17"/>
      <c r="H42" s="27"/>
      <c r="I42" s="17"/>
      <c r="J42" s="17"/>
      <c r="K42" s="18">
        <v>1944.1686999999999</v>
      </c>
      <c r="L42" s="17"/>
      <c r="M42" s="17"/>
    </row>
    <row r="43" spans="1:13" x14ac:dyDescent="0.25">
      <c r="A43" s="29" t="s">
        <v>88</v>
      </c>
      <c r="B43" s="17"/>
      <c r="C43" s="27"/>
      <c r="D43" s="27"/>
      <c r="E43" s="17"/>
      <c r="F43" s="27"/>
      <c r="G43" s="27"/>
      <c r="H43" s="17"/>
      <c r="I43" s="18">
        <v>2830.2867000000001</v>
      </c>
      <c r="J43" s="27"/>
      <c r="K43" s="17"/>
      <c r="L43" s="18">
        <v>2830.2867000000001</v>
      </c>
      <c r="M43" s="27"/>
    </row>
    <row r="44" spans="1:13" x14ac:dyDescent="0.25">
      <c r="A44" s="31" t="s">
        <v>98</v>
      </c>
      <c r="B44" s="17"/>
      <c r="C44" s="27"/>
      <c r="D44" s="27"/>
      <c r="E44" s="17"/>
      <c r="F44" s="27"/>
      <c r="G44" s="27"/>
      <c r="H44" s="17"/>
      <c r="I44" s="27"/>
      <c r="J44" s="27"/>
      <c r="K44" s="17"/>
      <c r="L44" s="18">
        <v>1519.8672999999999</v>
      </c>
      <c r="M44" s="27"/>
    </row>
    <row r="45" spans="1:13" x14ac:dyDescent="0.25">
      <c r="A45" s="27" t="s">
        <v>82</v>
      </c>
      <c r="B45" s="17"/>
      <c r="C45" s="27"/>
      <c r="D45" s="27"/>
      <c r="E45" s="17"/>
      <c r="F45" s="18">
        <v>3039.7606999999998</v>
      </c>
      <c r="G45" s="27"/>
      <c r="H45" s="17"/>
      <c r="I45" s="27"/>
      <c r="J45" s="27"/>
      <c r="K45" s="17"/>
      <c r="L45" s="27"/>
      <c r="M45" s="27"/>
    </row>
    <row r="46" spans="1:13" x14ac:dyDescent="0.25">
      <c r="A46" s="30" t="s">
        <v>24</v>
      </c>
      <c r="B46" s="18">
        <v>400.34179999999998</v>
      </c>
      <c r="C46" s="18">
        <v>400.34179999999998</v>
      </c>
      <c r="D46" s="18">
        <v>400.34179999999998</v>
      </c>
      <c r="E46" s="17"/>
      <c r="F46" s="17"/>
      <c r="G46" s="17"/>
      <c r="H46" s="18">
        <v>400.34179999999998</v>
      </c>
      <c r="I46" s="18">
        <v>400.34179999999998</v>
      </c>
      <c r="J46" s="18">
        <v>400.34179999999998</v>
      </c>
      <c r="K46" s="17"/>
      <c r="L46" s="17"/>
      <c r="M46" s="26">
        <v>400.34179999999998</v>
      </c>
    </row>
    <row r="47" spans="1:13" x14ac:dyDescent="0.25">
      <c r="A47" s="27" t="s">
        <v>67</v>
      </c>
      <c r="B47" s="17"/>
      <c r="C47" s="17"/>
      <c r="D47" s="17"/>
      <c r="E47" s="18">
        <v>411.04599999999999</v>
      </c>
      <c r="F47" s="18">
        <v>411.04599999999999</v>
      </c>
      <c r="G47" s="18">
        <v>411.04599999999999</v>
      </c>
      <c r="H47" s="17"/>
      <c r="I47" s="17"/>
      <c r="J47" s="17"/>
      <c r="K47" s="18">
        <v>411.04599999999999</v>
      </c>
      <c r="L47" s="18">
        <v>411.04599999999999</v>
      </c>
      <c r="M47" s="18">
        <v>411.04599999999999</v>
      </c>
    </row>
    <row r="48" spans="1:13" x14ac:dyDescent="0.25">
      <c r="A48" s="30" t="s">
        <v>34</v>
      </c>
      <c r="B48" s="18">
        <v>542.70920000000001</v>
      </c>
      <c r="C48" s="18">
        <v>542.70920000000001</v>
      </c>
      <c r="D48" s="18">
        <v>542.70920000000001</v>
      </c>
      <c r="E48" s="18">
        <v>542.70920000000001</v>
      </c>
      <c r="F48" s="18">
        <v>542.70920000000001</v>
      </c>
      <c r="G48" s="18">
        <v>542.70920000000001</v>
      </c>
      <c r="H48" s="18">
        <v>542.70920000000001</v>
      </c>
      <c r="I48" s="18">
        <v>542.70920000000001</v>
      </c>
      <c r="J48" s="18">
        <v>542.70920000000001</v>
      </c>
      <c r="K48" s="18">
        <v>542.70920000000001</v>
      </c>
      <c r="L48" s="18">
        <v>542.70920000000001</v>
      </c>
      <c r="M48" s="18">
        <v>542.70920000000001</v>
      </c>
    </row>
    <row r="49" spans="1:13" x14ac:dyDescent="0.25">
      <c r="A49" s="30" t="s">
        <v>35</v>
      </c>
      <c r="B49" s="18">
        <v>542.70920000000001</v>
      </c>
      <c r="C49" s="18">
        <v>542.70920000000001</v>
      </c>
      <c r="D49" s="18">
        <v>542.70920000000001</v>
      </c>
      <c r="E49" s="18">
        <v>542.70920000000001</v>
      </c>
      <c r="F49" s="18">
        <v>542.70920000000001</v>
      </c>
      <c r="G49" s="18">
        <v>542.70920000000001</v>
      </c>
      <c r="H49" s="18">
        <v>542.70920000000001</v>
      </c>
      <c r="I49" s="18">
        <v>542.70920000000001</v>
      </c>
      <c r="J49" s="18">
        <v>542.70920000000001</v>
      </c>
      <c r="K49" s="18">
        <v>542.70920000000001</v>
      </c>
      <c r="L49" s="18">
        <v>542.70920000000001</v>
      </c>
      <c r="M49" s="18">
        <v>542.70920000000001</v>
      </c>
    </row>
    <row r="50" spans="1:13" x14ac:dyDescent="0.25">
      <c r="A50" s="30" t="s">
        <v>17</v>
      </c>
      <c r="B50" s="18">
        <v>222.01009999999999</v>
      </c>
      <c r="C50" s="18">
        <v>222.01009999999999</v>
      </c>
      <c r="D50" s="18">
        <v>222.01009999999999</v>
      </c>
      <c r="E50" s="18">
        <v>222.01009999999999</v>
      </c>
      <c r="F50" s="18">
        <v>222.01009999999999</v>
      </c>
      <c r="G50" s="18">
        <v>222.01009999999999</v>
      </c>
      <c r="H50" s="18">
        <v>222.01009999999999</v>
      </c>
      <c r="I50" s="18">
        <v>222.01009999999999</v>
      </c>
      <c r="J50" s="18">
        <v>222.01009999999999</v>
      </c>
      <c r="K50" s="18">
        <v>222.01009999999999</v>
      </c>
      <c r="L50" s="18">
        <v>222.01009999999999</v>
      </c>
      <c r="M50" s="18">
        <v>222.01009999999999</v>
      </c>
    </row>
    <row r="51" spans="1:13" x14ac:dyDescent="0.25">
      <c r="A51" s="30" t="s">
        <v>27</v>
      </c>
      <c r="B51" s="18">
        <v>116.6777</v>
      </c>
      <c r="C51" s="18">
        <v>116.6777</v>
      </c>
      <c r="D51" s="18">
        <v>116.6777</v>
      </c>
      <c r="E51" s="18">
        <v>116.6777</v>
      </c>
      <c r="F51" s="18">
        <v>116.6777</v>
      </c>
      <c r="G51" s="18">
        <v>116.6777</v>
      </c>
      <c r="H51" s="17"/>
      <c r="I51" s="17"/>
      <c r="J51" s="17"/>
      <c r="K51" s="18">
        <v>116.6777</v>
      </c>
      <c r="L51" s="18">
        <v>116.6777</v>
      </c>
      <c r="M51" s="18">
        <v>116.6777</v>
      </c>
    </row>
    <row r="52" spans="1:13" x14ac:dyDescent="0.25">
      <c r="A52" s="32" t="s">
        <v>55</v>
      </c>
      <c r="B52" s="27"/>
      <c r="C52" s="27"/>
      <c r="D52" s="18">
        <v>157.3536</v>
      </c>
      <c r="E52" s="27"/>
      <c r="F52" s="27"/>
      <c r="G52" s="18">
        <v>157.3536</v>
      </c>
      <c r="H52" s="27"/>
      <c r="I52" s="27"/>
      <c r="J52" s="27"/>
      <c r="K52" s="27"/>
      <c r="L52" s="27"/>
      <c r="M52" s="27"/>
    </row>
    <row r="53" spans="1:13" x14ac:dyDescent="0.25">
      <c r="A53" s="30" t="s">
        <v>25</v>
      </c>
      <c r="B53" s="18">
        <v>198.0299</v>
      </c>
      <c r="C53" s="18">
        <v>198.0299</v>
      </c>
      <c r="D53" s="18">
        <v>198.0299</v>
      </c>
      <c r="E53" s="18">
        <v>198.0299</v>
      </c>
      <c r="F53" s="18">
        <v>198.0299</v>
      </c>
      <c r="G53" s="18">
        <v>198.0299</v>
      </c>
      <c r="H53" s="18">
        <v>198.0299</v>
      </c>
      <c r="I53" s="18">
        <v>198.0299</v>
      </c>
      <c r="J53" s="18">
        <v>198.0299</v>
      </c>
      <c r="K53" s="18">
        <v>198.0299</v>
      </c>
      <c r="L53" s="18">
        <v>198.0299</v>
      </c>
      <c r="M53" s="18">
        <v>198.0299</v>
      </c>
    </row>
    <row r="54" spans="1:13" x14ac:dyDescent="0.25">
      <c r="A54" s="30" t="s">
        <v>36</v>
      </c>
      <c r="B54" s="18">
        <v>5423.1767</v>
      </c>
      <c r="C54" s="18">
        <v>5423.1767</v>
      </c>
      <c r="D54" s="18">
        <v>5423.1767</v>
      </c>
      <c r="E54" s="18">
        <v>5423.1767</v>
      </c>
      <c r="F54" s="18">
        <v>5423.1767</v>
      </c>
      <c r="G54" s="18">
        <v>5423.1767</v>
      </c>
      <c r="H54" s="18">
        <v>5423.1767</v>
      </c>
      <c r="I54" s="18">
        <v>5423.1767</v>
      </c>
      <c r="J54" s="18">
        <v>5423.1767</v>
      </c>
      <c r="K54" s="18">
        <v>5423.1767</v>
      </c>
      <c r="L54" s="18">
        <v>5423.1767</v>
      </c>
      <c r="M54" s="18">
        <v>5423.1767</v>
      </c>
    </row>
    <row r="55" spans="1:13" x14ac:dyDescent="0.25">
      <c r="A55" s="30" t="s">
        <v>28</v>
      </c>
      <c r="B55" s="18">
        <v>33.184699999999999</v>
      </c>
      <c r="C55" s="18">
        <v>33.184699999999999</v>
      </c>
      <c r="D55" s="18">
        <v>33.184699999999999</v>
      </c>
      <c r="E55" s="18">
        <v>33.184699999999999</v>
      </c>
      <c r="F55" s="18">
        <v>33.184699999999999</v>
      </c>
      <c r="G55" s="18">
        <v>33.184699999999999</v>
      </c>
      <c r="H55" s="18">
        <v>33.184699999999999</v>
      </c>
      <c r="I55" s="18">
        <v>33.184699999999999</v>
      </c>
      <c r="J55" s="18">
        <v>33.184699999999999</v>
      </c>
      <c r="K55" s="18">
        <v>33.184699999999999</v>
      </c>
      <c r="L55" s="18">
        <v>33.184699999999999</v>
      </c>
      <c r="M55" s="18">
        <v>33.184699999999999</v>
      </c>
    </row>
    <row r="56" spans="1:13" x14ac:dyDescent="0.25">
      <c r="A56" s="21" t="s">
        <v>68</v>
      </c>
      <c r="B56" s="17"/>
      <c r="C56" s="17"/>
      <c r="D56" s="17"/>
      <c r="E56" s="18">
        <v>783.36189999999999</v>
      </c>
      <c r="F56" s="18">
        <v>783.36189999999999</v>
      </c>
      <c r="G56" s="18">
        <v>783.36189999999999</v>
      </c>
      <c r="H56" s="17"/>
      <c r="I56" s="17"/>
      <c r="J56" s="17"/>
      <c r="K56" s="17"/>
      <c r="L56" s="17"/>
      <c r="M56" s="17"/>
    </row>
    <row r="57" spans="1:13" x14ac:dyDescent="0.25">
      <c r="A57" s="21" t="s">
        <v>69</v>
      </c>
      <c r="B57" s="17"/>
      <c r="C57" s="17"/>
      <c r="D57" s="17"/>
      <c r="E57" s="18">
        <v>796.40499999999997</v>
      </c>
      <c r="F57" s="18">
        <v>796.40499999999997</v>
      </c>
      <c r="G57" s="18">
        <v>796.40499999999997</v>
      </c>
      <c r="H57" s="17"/>
      <c r="I57" s="17"/>
      <c r="J57" s="17"/>
      <c r="K57" s="17"/>
      <c r="L57" s="17"/>
      <c r="M57" s="17"/>
    </row>
    <row r="58" spans="1:13" x14ac:dyDescent="0.25">
      <c r="A58" s="22" t="s">
        <v>18</v>
      </c>
      <c r="B58" s="18">
        <v>221.5795</v>
      </c>
      <c r="C58" s="18">
        <v>221.5795</v>
      </c>
      <c r="D58" s="18">
        <v>221.5795</v>
      </c>
      <c r="E58" s="17"/>
      <c r="F58" s="17"/>
      <c r="G58" s="17"/>
      <c r="H58" s="17"/>
      <c r="I58" s="17"/>
      <c r="J58" s="17"/>
      <c r="K58" s="17"/>
      <c r="L58" s="17"/>
      <c r="M58" s="17"/>
    </row>
    <row r="59" spans="1:13" x14ac:dyDescent="0.25">
      <c r="A59" s="21" t="s">
        <v>76</v>
      </c>
      <c r="B59" s="17"/>
      <c r="C59" s="17"/>
      <c r="D59" s="17"/>
      <c r="E59" s="17"/>
      <c r="F59" s="18">
        <v>-461.35640000000001</v>
      </c>
      <c r="G59" s="18">
        <v>-461.35640000000001</v>
      </c>
      <c r="H59" s="17"/>
      <c r="I59" s="17"/>
      <c r="J59" s="17"/>
      <c r="K59" s="17"/>
      <c r="L59" s="17"/>
      <c r="M59" s="17"/>
    </row>
    <row r="60" spans="1:13" x14ac:dyDescent="0.25">
      <c r="A60" s="30" t="s">
        <v>19</v>
      </c>
      <c r="B60" s="18">
        <v>0</v>
      </c>
      <c r="C60" s="18">
        <v>0</v>
      </c>
      <c r="D60" s="18">
        <v>0</v>
      </c>
      <c r="E60" s="18">
        <v>0</v>
      </c>
      <c r="F60" s="18">
        <v>0</v>
      </c>
      <c r="G60" s="18">
        <v>0</v>
      </c>
      <c r="H60" s="18">
        <v>0</v>
      </c>
      <c r="I60" s="18">
        <v>0</v>
      </c>
      <c r="J60" s="18">
        <v>0</v>
      </c>
      <c r="K60" s="18">
        <v>0</v>
      </c>
      <c r="L60" s="18">
        <v>0</v>
      </c>
      <c r="M60" s="18">
        <v>0</v>
      </c>
    </row>
    <row r="61" spans="1:13" x14ac:dyDescent="0.25">
      <c r="A61" s="29" t="s">
        <v>83</v>
      </c>
      <c r="B61" s="17"/>
      <c r="C61" s="17"/>
      <c r="D61" s="17"/>
      <c r="E61" s="17"/>
      <c r="F61" s="17"/>
      <c r="G61" s="17"/>
      <c r="H61" s="18">
        <v>412.11669999999998</v>
      </c>
      <c r="I61" s="18">
        <v>412.11669999999998</v>
      </c>
      <c r="J61" s="18">
        <v>412.11669999999998</v>
      </c>
      <c r="K61" s="17"/>
      <c r="L61" s="17"/>
      <c r="M61" s="17"/>
    </row>
    <row r="62" spans="1:13" x14ac:dyDescent="0.25">
      <c r="A62" s="38" t="s">
        <v>105</v>
      </c>
      <c r="B62" s="27"/>
      <c r="C62" s="27"/>
      <c r="D62" s="27"/>
      <c r="E62" s="27"/>
      <c r="F62" s="27"/>
      <c r="G62" s="27"/>
      <c r="H62" s="17"/>
      <c r="I62" s="26">
        <v>412.11669999999998</v>
      </c>
      <c r="J62" s="17"/>
      <c r="K62" s="27"/>
      <c r="L62" s="27"/>
      <c r="M62" s="27"/>
    </row>
    <row r="63" spans="1:13" x14ac:dyDescent="0.25">
      <c r="A63" s="38" t="s">
        <v>87</v>
      </c>
      <c r="B63" s="27"/>
      <c r="C63" s="27"/>
      <c r="D63" s="27"/>
      <c r="E63" s="27"/>
      <c r="F63" s="27"/>
      <c r="G63" s="27"/>
      <c r="H63" s="17"/>
      <c r="I63" s="26"/>
      <c r="J63" s="17"/>
      <c r="K63" s="27"/>
      <c r="L63" s="27"/>
      <c r="M63" s="27"/>
    </row>
    <row r="64" spans="1:13" x14ac:dyDescent="0.25">
      <c r="A64" s="30" t="s">
        <v>29</v>
      </c>
      <c r="B64" s="18">
        <v>38.5383</v>
      </c>
      <c r="C64" s="18">
        <v>38.5383</v>
      </c>
      <c r="D64" s="18">
        <v>38.5383</v>
      </c>
      <c r="E64" s="18">
        <v>38.5383</v>
      </c>
      <c r="F64" s="18">
        <v>38.5383</v>
      </c>
      <c r="G64" s="18">
        <v>38.5383</v>
      </c>
      <c r="H64" s="18">
        <v>38.5383</v>
      </c>
      <c r="I64" s="18">
        <v>38.5383</v>
      </c>
      <c r="J64" s="18">
        <v>38.5383</v>
      </c>
      <c r="K64" s="18">
        <v>38.5383</v>
      </c>
      <c r="L64" s="18">
        <v>38.5383</v>
      </c>
      <c r="M64" s="18">
        <v>38.5383</v>
      </c>
    </row>
    <row r="65" spans="1:15" x14ac:dyDescent="0.25">
      <c r="A65" s="40" t="s">
        <v>23</v>
      </c>
      <c r="B65" s="18">
        <v>1022.2628999999999</v>
      </c>
      <c r="C65" s="17"/>
      <c r="D65" s="17"/>
      <c r="E65" s="18">
        <v>1022.2628999999999</v>
      </c>
      <c r="F65" s="17"/>
      <c r="G65" s="17"/>
      <c r="H65" s="17"/>
      <c r="I65" s="17"/>
      <c r="J65" s="17"/>
      <c r="K65" s="27"/>
      <c r="L65" s="17"/>
      <c r="M65" s="17"/>
    </row>
    <row r="66" spans="1:15" x14ac:dyDescent="0.25">
      <c r="A66" s="32" t="s">
        <v>45</v>
      </c>
      <c r="B66" s="17"/>
      <c r="C66" s="18">
        <v>1182.8278</v>
      </c>
      <c r="D66" s="18">
        <v>1182.8278</v>
      </c>
      <c r="E66" s="17"/>
      <c r="F66" s="18">
        <v>1182.8278</v>
      </c>
      <c r="G66" s="18">
        <v>1182.8278</v>
      </c>
      <c r="H66" s="17"/>
      <c r="I66" s="17"/>
      <c r="J66" s="17"/>
      <c r="K66" s="17"/>
      <c r="L66" s="27"/>
      <c r="M66" s="27"/>
      <c r="O66" s="19"/>
    </row>
    <row r="67" spans="1:15" x14ac:dyDescent="0.25">
      <c r="A67" s="30" t="s">
        <v>20</v>
      </c>
      <c r="B67" s="18">
        <v>459.21550000000002</v>
      </c>
      <c r="C67" s="18">
        <v>459.21550000000002</v>
      </c>
      <c r="D67" s="18">
        <v>459.21550000000002</v>
      </c>
      <c r="E67" s="18">
        <v>459.21550000000002</v>
      </c>
      <c r="F67" s="18">
        <v>459.21550000000002</v>
      </c>
      <c r="G67" s="18">
        <v>459.21550000000002</v>
      </c>
      <c r="H67" s="18">
        <v>459.21550000000002</v>
      </c>
      <c r="I67" s="18">
        <v>459.21550000000002</v>
      </c>
      <c r="J67" s="18">
        <v>459.21550000000002</v>
      </c>
      <c r="K67" s="18">
        <v>459.21550000000002</v>
      </c>
      <c r="L67" s="18">
        <v>459.21550000000002</v>
      </c>
      <c r="M67" s="18">
        <v>459.21550000000002</v>
      </c>
    </row>
    <row r="68" spans="1:15" x14ac:dyDescent="0.25">
      <c r="A68" s="21" t="s">
        <v>74</v>
      </c>
      <c r="B68" s="17"/>
      <c r="C68" s="17"/>
      <c r="D68" s="17"/>
      <c r="E68" s="18">
        <v>1468.7583999999999</v>
      </c>
      <c r="F68" s="17"/>
      <c r="G68" s="17"/>
      <c r="H68" s="18">
        <v>1468.7583999999999</v>
      </c>
      <c r="I68" s="17"/>
      <c r="J68" s="17"/>
      <c r="K68" s="18">
        <v>1468.7583999999999</v>
      </c>
      <c r="L68" s="17"/>
      <c r="M68" s="17"/>
    </row>
    <row r="69" spans="1:15" x14ac:dyDescent="0.25">
      <c r="A69" s="22" t="s">
        <v>41</v>
      </c>
      <c r="B69" s="18">
        <v>1468.758</v>
      </c>
      <c r="C69" s="18">
        <v>1468.758</v>
      </c>
      <c r="D69" s="17"/>
      <c r="E69" s="17"/>
      <c r="F69" s="18">
        <v>1468.758</v>
      </c>
      <c r="G69" s="17"/>
      <c r="H69" s="17"/>
      <c r="I69" s="18">
        <v>1468.758</v>
      </c>
      <c r="J69" s="17"/>
      <c r="K69" s="17"/>
      <c r="L69" s="18">
        <v>1468.758</v>
      </c>
      <c r="M69" s="17"/>
    </row>
    <row r="70" spans="1:15" x14ac:dyDescent="0.25">
      <c r="A70" s="22" t="s">
        <v>42</v>
      </c>
      <c r="B70" s="18">
        <v>1519.5128999999999</v>
      </c>
      <c r="C70" s="18">
        <v>1519.5128999999999</v>
      </c>
      <c r="D70" s="18">
        <v>1519.5128999999999</v>
      </c>
      <c r="E70" s="18">
        <v>1519.5128999999999</v>
      </c>
      <c r="F70" s="18">
        <v>1519.5128999999999</v>
      </c>
      <c r="G70" s="18">
        <v>1519.5128999999999</v>
      </c>
      <c r="H70" s="18">
        <v>1519.5128999999999</v>
      </c>
      <c r="I70" s="18">
        <v>1519.5128999999999</v>
      </c>
      <c r="J70" s="18">
        <v>1519.5128999999999</v>
      </c>
      <c r="K70" s="18">
        <v>1519.5128999999999</v>
      </c>
      <c r="L70" s="18">
        <v>1519.5128999999999</v>
      </c>
      <c r="M70" s="18">
        <v>1519.5128999999999</v>
      </c>
    </row>
    <row r="71" spans="1:15" x14ac:dyDescent="0.25">
      <c r="A71" s="30" t="s">
        <v>30</v>
      </c>
      <c r="B71" s="18">
        <v>789.97910000000002</v>
      </c>
      <c r="C71" s="18">
        <v>789.97910000000002</v>
      </c>
      <c r="D71" s="18">
        <v>789.97910000000002</v>
      </c>
      <c r="E71" s="18">
        <v>789.97910000000002</v>
      </c>
      <c r="F71" s="18">
        <v>789.97910000000002</v>
      </c>
      <c r="G71" s="18">
        <v>789.97910000000002</v>
      </c>
      <c r="H71" s="18">
        <v>789.97910000000002</v>
      </c>
      <c r="I71" s="18">
        <v>789.97910000000002</v>
      </c>
      <c r="J71" s="18">
        <v>789.97910000000002</v>
      </c>
      <c r="K71" s="18">
        <v>789.97910000000002</v>
      </c>
      <c r="L71" s="18">
        <v>789.97910000000002</v>
      </c>
      <c r="M71" s="18">
        <v>789.97910000000002</v>
      </c>
    </row>
    <row r="72" spans="1:15" x14ac:dyDescent="0.25">
      <c r="A72" s="30" t="s">
        <v>31</v>
      </c>
      <c r="B72" s="18">
        <v>42.815800000000003</v>
      </c>
      <c r="C72" s="18">
        <v>42.815800000000003</v>
      </c>
      <c r="D72" s="18">
        <v>42.815800000000003</v>
      </c>
      <c r="E72" s="18">
        <v>42.815800000000003</v>
      </c>
      <c r="F72" s="18">
        <v>42.815800000000003</v>
      </c>
      <c r="G72" s="18">
        <v>42.815800000000003</v>
      </c>
      <c r="H72" s="18">
        <v>42.815800000000003</v>
      </c>
      <c r="I72" s="18">
        <v>42.815800000000003</v>
      </c>
      <c r="J72" s="18">
        <v>42.815800000000003</v>
      </c>
      <c r="K72" s="18">
        <v>42.815800000000003</v>
      </c>
      <c r="L72" s="18">
        <v>42.815800000000003</v>
      </c>
      <c r="M72" s="18">
        <v>42.815800000000003</v>
      </c>
    </row>
    <row r="73" spans="1:15" x14ac:dyDescent="0.25">
      <c r="A73" s="30" t="s">
        <v>32</v>
      </c>
      <c r="B73" s="18">
        <v>62.0916</v>
      </c>
      <c r="C73" s="18">
        <v>62.0916</v>
      </c>
      <c r="D73" s="18">
        <v>62.0916</v>
      </c>
      <c r="E73" s="18">
        <v>62.0916</v>
      </c>
      <c r="F73" s="18">
        <v>62.0916</v>
      </c>
      <c r="G73" s="18">
        <v>62.0916</v>
      </c>
      <c r="H73" s="18">
        <v>62.0916</v>
      </c>
      <c r="I73" s="18">
        <v>62.0916</v>
      </c>
      <c r="J73" s="18">
        <v>62.0916</v>
      </c>
      <c r="K73" s="18">
        <v>62.0916</v>
      </c>
      <c r="L73" s="18">
        <v>62.0916</v>
      </c>
      <c r="M73" s="18">
        <v>62.0916</v>
      </c>
    </row>
    <row r="74" spans="1:15" x14ac:dyDescent="0.25">
      <c r="A74" s="39" t="s">
        <v>106</v>
      </c>
      <c r="B74" s="27"/>
      <c r="C74" s="27"/>
      <c r="D74" s="27"/>
      <c r="E74" s="27"/>
      <c r="F74" s="27"/>
      <c r="G74" s="27"/>
      <c r="H74" s="27"/>
      <c r="I74" s="27"/>
      <c r="J74" s="27"/>
      <c r="K74" s="27"/>
      <c r="L74" s="27"/>
      <c r="M74" s="27"/>
    </row>
    <row r="75" spans="1:15" x14ac:dyDescent="0.25">
      <c r="A75" s="21" t="s">
        <v>70</v>
      </c>
      <c r="B75" s="17"/>
      <c r="C75" s="17"/>
      <c r="D75" s="17"/>
      <c r="E75" s="18">
        <v>95.263300000000001</v>
      </c>
      <c r="F75" s="26"/>
      <c r="G75" s="17"/>
      <c r="H75" s="17"/>
      <c r="I75" s="17"/>
      <c r="J75" s="17"/>
      <c r="K75" s="17"/>
      <c r="L75" s="17"/>
      <c r="M75" s="17"/>
    </row>
    <row r="76" spans="1:15" x14ac:dyDescent="0.25">
      <c r="A76" s="22" t="s">
        <v>33</v>
      </c>
      <c r="B76" s="18">
        <v>95.263300000000001</v>
      </c>
      <c r="C76" s="18">
        <v>95.263300000000001</v>
      </c>
      <c r="D76" s="18">
        <v>95.263300000000001</v>
      </c>
      <c r="E76" s="17"/>
      <c r="F76" s="18">
        <v>95.263300000000001</v>
      </c>
      <c r="G76" s="18">
        <v>95.263300000000001</v>
      </c>
      <c r="H76" s="18">
        <v>95.263300000000001</v>
      </c>
      <c r="I76" s="18">
        <v>95.263300000000001</v>
      </c>
      <c r="J76" s="18">
        <v>95.263300000000001</v>
      </c>
      <c r="K76" s="17"/>
      <c r="L76" s="18">
        <v>95.263300000000001</v>
      </c>
      <c r="M76" s="18">
        <v>95.263300000000001</v>
      </c>
    </row>
    <row r="77" spans="1:15" x14ac:dyDescent="0.25">
      <c r="A77" s="30" t="s">
        <v>37</v>
      </c>
      <c r="B77" s="18">
        <v>4630.6292000000003</v>
      </c>
      <c r="C77" s="18">
        <v>4630.6292000000003</v>
      </c>
      <c r="D77" s="18">
        <v>4630.6292000000003</v>
      </c>
      <c r="E77" s="18">
        <v>4630.6292000000003</v>
      </c>
      <c r="F77" s="18">
        <v>4630.6292000000003</v>
      </c>
      <c r="G77" s="18">
        <v>4630.6292000000003</v>
      </c>
      <c r="H77" s="18">
        <v>4630.6292000000003</v>
      </c>
      <c r="I77" s="18">
        <v>4630.6292000000003</v>
      </c>
      <c r="J77" s="18">
        <v>4630.6292000000003</v>
      </c>
      <c r="K77" s="18">
        <v>4630.6292000000003</v>
      </c>
      <c r="L77" s="18">
        <v>4630.6292000000003</v>
      </c>
      <c r="M77" s="18">
        <v>4630.6292000000003</v>
      </c>
    </row>
  </sheetData>
  <autoFilter ref="A1:M78" xr:uid="{00000000-0009-0000-0000-000001000000}">
    <sortState xmlns:xlrd2="http://schemas.microsoft.com/office/spreadsheetml/2017/richdata2" ref="A2:M75">
      <sortCondition ref="A1:A75"/>
    </sortState>
  </autoFilter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53"/>
  <sheetViews>
    <sheetView workbookViewId="0">
      <selection activeCell="D53" sqref="A2:D53"/>
    </sheetView>
  </sheetViews>
  <sheetFormatPr defaultRowHeight="15" x14ac:dyDescent="0.25"/>
  <cols>
    <col min="1" max="1" width="76.5703125" bestFit="1" customWidth="1"/>
    <col min="2" max="2" width="6.85546875" bestFit="1" customWidth="1"/>
    <col min="3" max="3" width="6.85546875" customWidth="1"/>
    <col min="4" max="4" width="6.85546875" bestFit="1" customWidth="1"/>
    <col min="11" max="12" width="7.7109375" bestFit="1" customWidth="1"/>
    <col min="13" max="15" width="6.42578125" bestFit="1" customWidth="1"/>
  </cols>
  <sheetData>
    <row r="1" spans="1:18" x14ac:dyDescent="0.25">
      <c r="A1" t="s">
        <v>12</v>
      </c>
      <c r="B1" s="1" t="s">
        <v>0</v>
      </c>
      <c r="C1" s="1" t="s">
        <v>1</v>
      </c>
      <c r="D1" s="1" t="s">
        <v>2</v>
      </c>
      <c r="M1" s="1" t="s">
        <v>6</v>
      </c>
      <c r="N1" s="1" t="s">
        <v>7</v>
      </c>
      <c r="O1" s="1" t="s">
        <v>8</v>
      </c>
      <c r="P1" s="1" t="s">
        <v>9</v>
      </c>
      <c r="Q1" s="1" t="s">
        <v>10</v>
      </c>
      <c r="R1" s="1" t="s">
        <v>11</v>
      </c>
    </row>
    <row r="2" spans="1:18" x14ac:dyDescent="0.25">
      <c r="A2" s="2" t="s">
        <v>14</v>
      </c>
      <c r="B2" s="3">
        <v>20</v>
      </c>
      <c r="C2" s="3">
        <v>25</v>
      </c>
      <c r="D2" s="3">
        <v>30</v>
      </c>
    </row>
    <row r="3" spans="1:18" x14ac:dyDescent="0.25">
      <c r="A3" s="2" t="s">
        <v>15</v>
      </c>
      <c r="B3" s="3">
        <v>20</v>
      </c>
    </row>
    <row r="4" spans="1:18" x14ac:dyDescent="0.25">
      <c r="A4" s="2" t="s">
        <v>16</v>
      </c>
      <c r="B4" s="3">
        <v>20</v>
      </c>
      <c r="C4" s="3">
        <v>25</v>
      </c>
      <c r="D4" s="3">
        <v>30</v>
      </c>
    </row>
    <row r="5" spans="1:18" x14ac:dyDescent="0.25">
      <c r="A5" s="2" t="s">
        <v>17</v>
      </c>
      <c r="B5" s="3">
        <v>20</v>
      </c>
      <c r="C5" s="3">
        <v>25</v>
      </c>
      <c r="D5" s="3">
        <v>30</v>
      </c>
    </row>
    <row r="6" spans="1:18" x14ac:dyDescent="0.25">
      <c r="A6" s="2" t="s">
        <v>18</v>
      </c>
      <c r="B6" s="3">
        <v>20</v>
      </c>
      <c r="C6" s="3">
        <v>25</v>
      </c>
      <c r="D6" s="3">
        <v>30</v>
      </c>
    </row>
    <row r="7" spans="1:18" x14ac:dyDescent="0.25">
      <c r="A7" s="2" t="s">
        <v>19</v>
      </c>
      <c r="B7" s="3">
        <v>20</v>
      </c>
      <c r="C7" s="3">
        <v>25</v>
      </c>
      <c r="D7" s="3">
        <v>30</v>
      </c>
    </row>
    <row r="8" spans="1:18" x14ac:dyDescent="0.25">
      <c r="A8" s="2" t="s">
        <v>20</v>
      </c>
      <c r="B8" s="3">
        <v>20</v>
      </c>
      <c r="C8" s="3">
        <v>25</v>
      </c>
      <c r="D8" s="3">
        <v>30</v>
      </c>
    </row>
    <row r="9" spans="1:18" x14ac:dyDescent="0.25">
      <c r="A9" s="2" t="s">
        <v>21</v>
      </c>
      <c r="B9" s="3">
        <v>20</v>
      </c>
      <c r="C9" s="3">
        <v>25</v>
      </c>
      <c r="D9" s="3">
        <v>30</v>
      </c>
    </row>
    <row r="10" spans="1:18" x14ac:dyDescent="0.25">
      <c r="A10" s="2" t="s">
        <v>22</v>
      </c>
      <c r="B10" s="3">
        <v>20</v>
      </c>
      <c r="C10" s="3">
        <v>25</v>
      </c>
      <c r="D10" s="3">
        <v>30</v>
      </c>
    </row>
    <row r="11" spans="1:18" x14ac:dyDescent="0.25">
      <c r="A11" s="2" t="s">
        <v>23</v>
      </c>
      <c r="B11" s="3">
        <v>20</v>
      </c>
    </row>
    <row r="12" spans="1:18" x14ac:dyDescent="0.25">
      <c r="A12" s="2" t="s">
        <v>24</v>
      </c>
      <c r="B12" s="3">
        <v>20</v>
      </c>
      <c r="C12" s="3">
        <v>25</v>
      </c>
      <c r="D12" s="3">
        <v>30</v>
      </c>
    </row>
    <row r="13" spans="1:18" x14ac:dyDescent="0.25">
      <c r="A13" s="2" t="s">
        <v>25</v>
      </c>
      <c r="B13" s="3">
        <v>20</v>
      </c>
      <c r="C13" s="3">
        <v>25</v>
      </c>
      <c r="D13" s="3">
        <v>30</v>
      </c>
    </row>
    <row r="14" spans="1:18" x14ac:dyDescent="0.25">
      <c r="A14" s="2" t="s">
        <v>26</v>
      </c>
      <c r="B14" s="3">
        <v>20</v>
      </c>
      <c r="D14" s="3">
        <v>30</v>
      </c>
    </row>
    <row r="15" spans="1:18" x14ac:dyDescent="0.25">
      <c r="A15" s="2" t="s">
        <v>27</v>
      </c>
      <c r="B15" s="3">
        <v>20</v>
      </c>
      <c r="C15" s="3">
        <v>25</v>
      </c>
      <c r="D15" s="3">
        <v>30</v>
      </c>
    </row>
    <row r="16" spans="1:18" x14ac:dyDescent="0.25">
      <c r="A16" s="2" t="s">
        <v>28</v>
      </c>
      <c r="B16" s="3">
        <v>20</v>
      </c>
      <c r="C16" s="3">
        <v>25</v>
      </c>
      <c r="D16" s="3">
        <v>30</v>
      </c>
    </row>
    <row r="17" spans="1:4" x14ac:dyDescent="0.25">
      <c r="A17" s="2" t="s">
        <v>29</v>
      </c>
      <c r="B17" s="3">
        <v>20</v>
      </c>
      <c r="C17" s="3">
        <v>25</v>
      </c>
      <c r="D17" s="3">
        <v>30</v>
      </c>
    </row>
    <row r="18" spans="1:4" x14ac:dyDescent="0.25">
      <c r="A18" s="2" t="s">
        <v>30</v>
      </c>
      <c r="B18" s="3">
        <v>20</v>
      </c>
      <c r="C18" s="3">
        <v>25</v>
      </c>
      <c r="D18" s="3">
        <v>30</v>
      </c>
    </row>
    <row r="19" spans="1:4" x14ac:dyDescent="0.25">
      <c r="A19" s="2" t="s">
        <v>31</v>
      </c>
      <c r="B19" s="3">
        <v>20</v>
      </c>
      <c r="C19" s="3">
        <v>25</v>
      </c>
      <c r="D19" s="3">
        <v>30</v>
      </c>
    </row>
    <row r="20" spans="1:4" x14ac:dyDescent="0.25">
      <c r="A20" s="2" t="s">
        <v>32</v>
      </c>
      <c r="B20" s="3">
        <v>20</v>
      </c>
      <c r="C20" s="3">
        <v>25</v>
      </c>
      <c r="D20" s="3">
        <v>30</v>
      </c>
    </row>
    <row r="21" spans="1:4" x14ac:dyDescent="0.25">
      <c r="A21" s="2" t="s">
        <v>33</v>
      </c>
      <c r="B21" s="3">
        <v>20</v>
      </c>
      <c r="C21" s="3">
        <v>25</v>
      </c>
      <c r="D21" s="3">
        <v>30</v>
      </c>
    </row>
    <row r="22" spans="1:4" x14ac:dyDescent="0.25">
      <c r="A22" s="2" t="s">
        <v>34</v>
      </c>
      <c r="B22" s="3">
        <v>20</v>
      </c>
      <c r="C22" s="3">
        <v>25</v>
      </c>
      <c r="D22" s="3">
        <v>30</v>
      </c>
    </row>
    <row r="23" spans="1:4" x14ac:dyDescent="0.25">
      <c r="A23" s="2" t="s">
        <v>35</v>
      </c>
      <c r="B23" s="3">
        <v>20</v>
      </c>
      <c r="C23" s="3">
        <v>25</v>
      </c>
      <c r="D23" s="3">
        <v>30</v>
      </c>
    </row>
    <row r="24" spans="1:4" x14ac:dyDescent="0.25">
      <c r="A24" s="2" t="s">
        <v>36</v>
      </c>
      <c r="B24" s="3">
        <v>20</v>
      </c>
      <c r="C24" s="3">
        <v>25</v>
      </c>
      <c r="D24" s="3">
        <v>30</v>
      </c>
    </row>
    <row r="25" spans="1:4" x14ac:dyDescent="0.25">
      <c r="A25" s="2" t="s">
        <v>37</v>
      </c>
      <c r="B25" s="3">
        <v>20</v>
      </c>
      <c r="C25" s="3">
        <v>25</v>
      </c>
      <c r="D25" s="3">
        <v>30</v>
      </c>
    </row>
    <row r="26" spans="1:4" x14ac:dyDescent="0.25">
      <c r="A26" s="2" t="s">
        <v>38</v>
      </c>
      <c r="B26" s="3">
        <v>20</v>
      </c>
      <c r="D26" s="3">
        <v>30</v>
      </c>
    </row>
    <row r="27" spans="1:4" x14ac:dyDescent="0.25">
      <c r="A27" s="2" t="s">
        <v>39</v>
      </c>
      <c r="B27" s="3">
        <v>20</v>
      </c>
    </row>
    <row r="28" spans="1:4" x14ac:dyDescent="0.25">
      <c r="A28" s="2" t="s">
        <v>40</v>
      </c>
      <c r="B28" s="3">
        <v>20</v>
      </c>
    </row>
    <row r="29" spans="1:4" x14ac:dyDescent="0.25">
      <c r="A29" s="2" t="s">
        <v>41</v>
      </c>
      <c r="B29" s="3">
        <v>20</v>
      </c>
      <c r="C29" s="3">
        <v>25</v>
      </c>
    </row>
    <row r="30" spans="1:4" x14ac:dyDescent="0.25">
      <c r="A30" s="2" t="s">
        <v>42</v>
      </c>
      <c r="B30" s="3">
        <v>20</v>
      </c>
      <c r="C30" s="3">
        <v>25</v>
      </c>
      <c r="D30" s="3">
        <v>30</v>
      </c>
    </row>
    <row r="31" spans="1:4" x14ac:dyDescent="0.25">
      <c r="A31" s="4" t="s">
        <v>43</v>
      </c>
      <c r="C31" s="3">
        <v>25</v>
      </c>
      <c r="D31" s="3">
        <v>30</v>
      </c>
    </row>
    <row r="32" spans="1:4" x14ac:dyDescent="0.25">
      <c r="A32" s="4" t="s">
        <v>44</v>
      </c>
      <c r="C32" s="3">
        <v>25</v>
      </c>
      <c r="D32" s="3">
        <v>30</v>
      </c>
    </row>
    <row r="33" spans="1:4" x14ac:dyDescent="0.25">
      <c r="A33" s="4" t="s">
        <v>45</v>
      </c>
      <c r="C33" s="3">
        <v>25</v>
      </c>
      <c r="D33" s="3">
        <v>30</v>
      </c>
    </row>
    <row r="34" spans="1:4" x14ac:dyDescent="0.25">
      <c r="A34" s="4" t="s">
        <v>46</v>
      </c>
      <c r="C34" s="3">
        <v>25</v>
      </c>
    </row>
    <row r="35" spans="1:4" x14ac:dyDescent="0.25">
      <c r="A35" s="4" t="s">
        <v>47</v>
      </c>
      <c r="C35" s="3">
        <v>25</v>
      </c>
    </row>
    <row r="36" spans="1:4" x14ac:dyDescent="0.25">
      <c r="A36" s="4" t="s">
        <v>48</v>
      </c>
      <c r="C36" s="3">
        <v>25</v>
      </c>
    </row>
    <row r="37" spans="1:4" x14ac:dyDescent="0.25">
      <c r="A37" s="4" t="s">
        <v>49</v>
      </c>
      <c r="C37" s="3">
        <v>25</v>
      </c>
    </row>
    <row r="38" spans="1:4" x14ac:dyDescent="0.25">
      <c r="A38" s="4" t="s">
        <v>50</v>
      </c>
      <c r="C38" s="3">
        <v>25</v>
      </c>
      <c r="D38" s="3">
        <v>30</v>
      </c>
    </row>
    <row r="39" spans="1:4" x14ac:dyDescent="0.25">
      <c r="A39" s="4" t="s">
        <v>51</v>
      </c>
      <c r="C39" s="3">
        <v>25</v>
      </c>
      <c r="D39" s="3">
        <v>30</v>
      </c>
    </row>
    <row r="40" spans="1:4" x14ac:dyDescent="0.25">
      <c r="A40" s="4" t="s">
        <v>52</v>
      </c>
      <c r="C40" s="3">
        <v>25</v>
      </c>
      <c r="D40" s="3">
        <v>30</v>
      </c>
    </row>
    <row r="41" spans="1:4" x14ac:dyDescent="0.25">
      <c r="A41" s="4" t="s">
        <v>53</v>
      </c>
      <c r="C41" s="3">
        <v>25</v>
      </c>
      <c r="D41" s="3">
        <v>30</v>
      </c>
    </row>
    <row r="42" spans="1:4" x14ac:dyDescent="0.25">
      <c r="A42" s="4" t="s">
        <v>55</v>
      </c>
      <c r="D42" s="3">
        <v>30</v>
      </c>
    </row>
    <row r="43" spans="1:4" x14ac:dyDescent="0.25">
      <c r="A43" s="4" t="s">
        <v>56</v>
      </c>
      <c r="D43" s="3">
        <v>30</v>
      </c>
    </row>
    <row r="44" spans="1:4" x14ac:dyDescent="0.25">
      <c r="A44" s="4" t="s">
        <v>57</v>
      </c>
      <c r="D44" s="3">
        <v>30</v>
      </c>
    </row>
    <row r="45" spans="1:4" x14ac:dyDescent="0.25">
      <c r="A45" s="4" t="s">
        <v>58</v>
      </c>
      <c r="D45" s="3">
        <v>30</v>
      </c>
    </row>
    <row r="46" spans="1:4" x14ac:dyDescent="0.25">
      <c r="A46" s="4" t="s">
        <v>59</v>
      </c>
      <c r="D46" s="3">
        <v>30</v>
      </c>
    </row>
    <row r="47" spans="1:4" x14ac:dyDescent="0.25">
      <c r="A47" s="4" t="s">
        <v>60</v>
      </c>
      <c r="D47" s="3">
        <v>30</v>
      </c>
    </row>
    <row r="48" spans="1:4" x14ac:dyDescent="0.25">
      <c r="A48" s="4" t="s">
        <v>61</v>
      </c>
      <c r="D48" s="3">
        <v>30</v>
      </c>
    </row>
    <row r="49" spans="1:4" x14ac:dyDescent="0.25">
      <c r="A49" s="4" t="s">
        <v>62</v>
      </c>
      <c r="D49" s="3">
        <v>30</v>
      </c>
    </row>
    <row r="50" spans="1:4" x14ac:dyDescent="0.25">
      <c r="A50" s="4" t="s">
        <v>63</v>
      </c>
      <c r="D50" s="3">
        <v>30</v>
      </c>
    </row>
    <row r="51" spans="1:4" x14ac:dyDescent="0.25">
      <c r="A51" s="4" t="s">
        <v>64</v>
      </c>
      <c r="D51" s="3">
        <v>30</v>
      </c>
    </row>
    <row r="52" spans="1:4" x14ac:dyDescent="0.25">
      <c r="A52" s="4" t="s">
        <v>65</v>
      </c>
      <c r="D52" s="3">
        <v>30</v>
      </c>
    </row>
    <row r="53" spans="1:4" x14ac:dyDescent="0.25">
      <c r="A53" s="4" t="s">
        <v>66</v>
      </c>
      <c r="D53" s="3">
        <v>30</v>
      </c>
    </row>
  </sheetData>
  <conditionalFormatting sqref="A1:A53">
    <cfRule type="duplicateValues" dxfId="1" priority="14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57"/>
  <sheetViews>
    <sheetView workbookViewId="0">
      <selection activeCell="C34" sqref="C34"/>
    </sheetView>
  </sheetViews>
  <sheetFormatPr defaultRowHeight="15" x14ac:dyDescent="0.25"/>
  <cols>
    <col min="1" max="1" width="77" style="8" bestFit="1" customWidth="1"/>
    <col min="2" max="4" width="6" customWidth="1"/>
    <col min="5" max="5" width="81.5703125" style="8" bestFit="1" customWidth="1"/>
    <col min="6" max="6" width="6.42578125" customWidth="1"/>
    <col min="7" max="7" width="81.28515625" bestFit="1" customWidth="1"/>
    <col min="8" max="8" width="7.7109375" bestFit="1" customWidth="1"/>
  </cols>
  <sheetData>
    <row r="1" spans="1:8" x14ac:dyDescent="0.25">
      <c r="B1" s="1" t="s">
        <v>3</v>
      </c>
      <c r="C1" t="s">
        <v>4</v>
      </c>
      <c r="D1" t="s">
        <v>5</v>
      </c>
      <c r="F1" s="1" t="s">
        <v>4</v>
      </c>
      <c r="G1" s="6" t="s">
        <v>13</v>
      </c>
      <c r="H1" s="1" t="s">
        <v>5</v>
      </c>
    </row>
    <row r="2" spans="1:8" x14ac:dyDescent="0.25">
      <c r="A2" s="9" t="s">
        <v>14</v>
      </c>
      <c r="B2" s="5">
        <v>20</v>
      </c>
      <c r="C2" s="5">
        <f>IFERROR(VLOOKUP(A2,$E$2:$F$46,2,FALSE),0)</f>
        <v>25</v>
      </c>
      <c r="D2" s="5">
        <f>IFERROR(VLOOKUP(A2,$G$2:$H$46,2,FALSE),0)</f>
        <v>30</v>
      </c>
      <c r="E2" s="9" t="s">
        <v>14</v>
      </c>
      <c r="F2" s="5">
        <v>25</v>
      </c>
      <c r="G2" s="7" t="s">
        <v>14</v>
      </c>
      <c r="H2" s="5">
        <v>30</v>
      </c>
    </row>
    <row r="3" spans="1:8" x14ac:dyDescent="0.25">
      <c r="A3" s="9" t="s">
        <v>15</v>
      </c>
      <c r="B3" s="5">
        <v>20</v>
      </c>
      <c r="C3">
        <f t="shared" ref="C3:C57" si="0">IFERROR(VLOOKUP(A3,$E$2:$F$46,2,FALSE),0)</f>
        <v>0</v>
      </c>
      <c r="D3">
        <f t="shared" ref="D3:D57" si="1">IFERROR(VLOOKUP(A3,$G$2:$H$46,2,FALSE),0)</f>
        <v>0</v>
      </c>
      <c r="E3" s="9" t="s">
        <v>16</v>
      </c>
      <c r="F3" s="5">
        <v>25</v>
      </c>
      <c r="G3" s="7" t="s">
        <v>16</v>
      </c>
      <c r="H3" s="5">
        <v>30</v>
      </c>
    </row>
    <row r="4" spans="1:8" x14ac:dyDescent="0.25">
      <c r="A4" s="9" t="s">
        <v>16</v>
      </c>
      <c r="B4" s="5">
        <v>20</v>
      </c>
      <c r="C4" s="5">
        <f t="shared" si="0"/>
        <v>25</v>
      </c>
      <c r="D4" s="5">
        <f t="shared" si="1"/>
        <v>30</v>
      </c>
      <c r="E4" s="9" t="s">
        <v>17</v>
      </c>
      <c r="F4" s="5">
        <v>25</v>
      </c>
      <c r="G4" s="7" t="s">
        <v>17</v>
      </c>
      <c r="H4" s="5">
        <v>30</v>
      </c>
    </row>
    <row r="5" spans="1:8" x14ac:dyDescent="0.25">
      <c r="A5" s="9" t="s">
        <v>17</v>
      </c>
      <c r="B5" s="5">
        <v>20</v>
      </c>
      <c r="C5" s="5">
        <f t="shared" si="0"/>
        <v>25</v>
      </c>
      <c r="D5" s="5">
        <f t="shared" si="1"/>
        <v>30</v>
      </c>
      <c r="E5" s="9" t="s">
        <v>19</v>
      </c>
      <c r="F5" s="5">
        <v>25</v>
      </c>
      <c r="G5" s="7" t="s">
        <v>55</v>
      </c>
      <c r="H5" s="5">
        <v>30</v>
      </c>
    </row>
    <row r="6" spans="1:8" x14ac:dyDescent="0.25">
      <c r="A6" s="9" t="s">
        <v>19</v>
      </c>
      <c r="B6" s="5">
        <v>20</v>
      </c>
      <c r="C6" s="5">
        <f t="shared" si="0"/>
        <v>25</v>
      </c>
      <c r="D6" s="5">
        <f t="shared" si="1"/>
        <v>30</v>
      </c>
      <c r="E6" s="9" t="s">
        <v>20</v>
      </c>
      <c r="F6" s="5">
        <v>25</v>
      </c>
      <c r="G6" s="7" t="s">
        <v>19</v>
      </c>
      <c r="H6" s="5">
        <v>30</v>
      </c>
    </row>
    <row r="7" spans="1:8" x14ac:dyDescent="0.25">
      <c r="A7" s="9" t="s">
        <v>20</v>
      </c>
      <c r="B7" s="5">
        <v>20</v>
      </c>
      <c r="C7" s="5">
        <f t="shared" si="0"/>
        <v>25</v>
      </c>
      <c r="D7" s="5">
        <f t="shared" si="1"/>
        <v>30</v>
      </c>
      <c r="E7" s="9" t="s">
        <v>21</v>
      </c>
      <c r="F7" s="5">
        <v>25</v>
      </c>
      <c r="G7" s="7" t="s">
        <v>20</v>
      </c>
      <c r="H7" s="5">
        <v>30</v>
      </c>
    </row>
    <row r="8" spans="1:8" x14ac:dyDescent="0.25">
      <c r="A8" s="9" t="s">
        <v>21</v>
      </c>
      <c r="B8" s="5">
        <v>20</v>
      </c>
      <c r="C8" s="5">
        <f t="shared" si="0"/>
        <v>25</v>
      </c>
      <c r="D8" s="5">
        <f t="shared" si="1"/>
        <v>30</v>
      </c>
      <c r="E8" s="9" t="s">
        <v>75</v>
      </c>
      <c r="F8" s="5">
        <v>25</v>
      </c>
      <c r="G8" s="7" t="s">
        <v>21</v>
      </c>
      <c r="H8" s="5">
        <v>30</v>
      </c>
    </row>
    <row r="9" spans="1:8" x14ac:dyDescent="0.25">
      <c r="A9" s="9" t="s">
        <v>22</v>
      </c>
      <c r="B9" s="5">
        <v>20</v>
      </c>
      <c r="C9" s="5">
        <f t="shared" si="0"/>
        <v>25</v>
      </c>
      <c r="D9" s="5">
        <f t="shared" si="1"/>
        <v>30</v>
      </c>
      <c r="E9" s="9" t="s">
        <v>43</v>
      </c>
      <c r="F9" s="5">
        <v>25</v>
      </c>
      <c r="G9" s="7" t="s">
        <v>43</v>
      </c>
      <c r="H9" s="5">
        <v>30</v>
      </c>
    </row>
    <row r="10" spans="1:8" x14ac:dyDescent="0.25">
      <c r="A10" s="9" t="s">
        <v>23</v>
      </c>
      <c r="B10" s="5">
        <v>20</v>
      </c>
      <c r="C10">
        <f t="shared" si="0"/>
        <v>0</v>
      </c>
      <c r="D10">
        <f t="shared" si="1"/>
        <v>0</v>
      </c>
      <c r="E10" s="9" t="s">
        <v>22</v>
      </c>
      <c r="F10" s="5">
        <v>25</v>
      </c>
      <c r="G10" s="7" t="s">
        <v>22</v>
      </c>
      <c r="H10" s="5">
        <v>30</v>
      </c>
    </row>
    <row r="11" spans="1:8" x14ac:dyDescent="0.25">
      <c r="A11" s="9" t="s">
        <v>67</v>
      </c>
      <c r="B11" s="5">
        <v>20</v>
      </c>
      <c r="C11" s="5">
        <f t="shared" si="0"/>
        <v>25</v>
      </c>
      <c r="D11" s="5">
        <f t="shared" si="1"/>
        <v>30</v>
      </c>
      <c r="E11" s="9" t="s">
        <v>76</v>
      </c>
      <c r="F11" s="5">
        <v>25</v>
      </c>
      <c r="G11" s="7" t="s">
        <v>76</v>
      </c>
      <c r="H11" s="5">
        <v>30</v>
      </c>
    </row>
    <row r="12" spans="1:8" x14ac:dyDescent="0.25">
      <c r="A12" s="9" t="s">
        <v>25</v>
      </c>
      <c r="B12" s="5">
        <v>20</v>
      </c>
      <c r="C12" s="5">
        <f t="shared" si="0"/>
        <v>25</v>
      </c>
      <c r="D12" s="5">
        <f t="shared" si="1"/>
        <v>30</v>
      </c>
      <c r="E12" s="9" t="s">
        <v>45</v>
      </c>
      <c r="F12" s="5">
        <v>25</v>
      </c>
      <c r="G12" s="7" t="s">
        <v>45</v>
      </c>
      <c r="H12" s="5">
        <v>30</v>
      </c>
    </row>
    <row r="13" spans="1:8" x14ac:dyDescent="0.25">
      <c r="A13" s="9" t="s">
        <v>68</v>
      </c>
      <c r="B13" s="5">
        <v>20</v>
      </c>
      <c r="C13" s="5">
        <f t="shared" si="0"/>
        <v>25</v>
      </c>
      <c r="D13" s="5">
        <f t="shared" si="1"/>
        <v>30</v>
      </c>
      <c r="E13" s="9" t="s">
        <v>67</v>
      </c>
      <c r="F13" s="5">
        <v>25</v>
      </c>
      <c r="G13" s="7" t="s">
        <v>67</v>
      </c>
      <c r="H13" s="5">
        <v>30</v>
      </c>
    </row>
    <row r="14" spans="1:8" x14ac:dyDescent="0.25">
      <c r="A14" s="9" t="s">
        <v>69</v>
      </c>
      <c r="B14" s="5">
        <v>20</v>
      </c>
      <c r="C14" s="5">
        <f t="shared" si="0"/>
        <v>25</v>
      </c>
      <c r="D14" s="5">
        <f t="shared" si="1"/>
        <v>30</v>
      </c>
      <c r="E14" s="9" t="s">
        <v>25</v>
      </c>
      <c r="F14" s="5">
        <v>25</v>
      </c>
      <c r="G14" s="7" t="s">
        <v>25</v>
      </c>
      <c r="H14" s="5">
        <v>30</v>
      </c>
    </row>
    <row r="15" spans="1:8" x14ac:dyDescent="0.25">
      <c r="A15" s="9" t="s">
        <v>26</v>
      </c>
      <c r="B15" s="5">
        <v>20</v>
      </c>
      <c r="C15" s="5">
        <f t="shared" si="0"/>
        <v>25</v>
      </c>
      <c r="D15">
        <f t="shared" si="1"/>
        <v>0</v>
      </c>
      <c r="E15" s="9" t="s">
        <v>68</v>
      </c>
      <c r="F15" s="5">
        <v>25</v>
      </c>
      <c r="G15" s="7" t="s">
        <v>68</v>
      </c>
      <c r="H15" s="5">
        <v>30</v>
      </c>
    </row>
    <row r="16" spans="1:8" x14ac:dyDescent="0.25">
      <c r="A16" s="9" t="s">
        <v>27</v>
      </c>
      <c r="B16" s="5">
        <v>20</v>
      </c>
      <c r="C16" s="5">
        <f t="shared" si="0"/>
        <v>25</v>
      </c>
      <c r="D16" s="5">
        <f t="shared" si="1"/>
        <v>30</v>
      </c>
      <c r="E16" s="9" t="s">
        <v>69</v>
      </c>
      <c r="F16" s="5">
        <v>25</v>
      </c>
      <c r="G16" s="7" t="s">
        <v>69</v>
      </c>
      <c r="H16" s="5">
        <v>30</v>
      </c>
    </row>
    <row r="17" spans="1:8" x14ac:dyDescent="0.25">
      <c r="A17" s="9" t="s">
        <v>28</v>
      </c>
      <c r="B17" s="5">
        <v>20</v>
      </c>
      <c r="C17" s="5">
        <f t="shared" si="0"/>
        <v>25</v>
      </c>
      <c r="D17" s="5">
        <f t="shared" si="1"/>
        <v>30</v>
      </c>
      <c r="E17" s="9" t="s">
        <v>26</v>
      </c>
      <c r="F17" s="5">
        <v>25</v>
      </c>
      <c r="G17" s="7" t="s">
        <v>46</v>
      </c>
      <c r="H17" s="5">
        <v>30</v>
      </c>
    </row>
    <row r="18" spans="1:8" x14ac:dyDescent="0.25">
      <c r="A18" s="9" t="s">
        <v>29</v>
      </c>
      <c r="B18" s="5">
        <v>20</v>
      </c>
      <c r="C18" s="5">
        <f t="shared" si="0"/>
        <v>25</v>
      </c>
      <c r="D18" s="5">
        <f t="shared" si="1"/>
        <v>30</v>
      </c>
      <c r="E18" s="9" t="s">
        <v>27</v>
      </c>
      <c r="F18" s="5">
        <v>25</v>
      </c>
      <c r="G18" s="7" t="s">
        <v>27</v>
      </c>
      <c r="H18" s="5">
        <v>30</v>
      </c>
    </row>
    <row r="19" spans="1:8" x14ac:dyDescent="0.25">
      <c r="A19" s="9" t="s">
        <v>30</v>
      </c>
      <c r="B19" s="5">
        <v>20</v>
      </c>
      <c r="C19" s="5">
        <f t="shared" si="0"/>
        <v>25</v>
      </c>
      <c r="D19" s="5">
        <f t="shared" si="1"/>
        <v>30</v>
      </c>
      <c r="E19" s="9" t="s">
        <v>28</v>
      </c>
      <c r="F19" s="5">
        <v>25</v>
      </c>
      <c r="G19" s="7" t="s">
        <v>28</v>
      </c>
      <c r="H19" s="5">
        <v>30</v>
      </c>
    </row>
    <row r="20" spans="1:8" x14ac:dyDescent="0.25">
      <c r="A20" s="9" t="s">
        <v>31</v>
      </c>
      <c r="B20" s="5">
        <v>20</v>
      </c>
      <c r="C20" s="5">
        <f t="shared" si="0"/>
        <v>25</v>
      </c>
      <c r="D20" s="5">
        <f t="shared" si="1"/>
        <v>30</v>
      </c>
      <c r="E20" s="9" t="s">
        <v>29</v>
      </c>
      <c r="F20" s="5">
        <v>25</v>
      </c>
      <c r="G20" s="7" t="s">
        <v>29</v>
      </c>
      <c r="H20" s="5">
        <v>30</v>
      </c>
    </row>
    <row r="21" spans="1:8" x14ac:dyDescent="0.25">
      <c r="A21" s="9" t="s">
        <v>32</v>
      </c>
      <c r="B21" s="5">
        <v>20</v>
      </c>
      <c r="C21" s="5">
        <f t="shared" si="0"/>
        <v>25</v>
      </c>
      <c r="D21" s="5">
        <f t="shared" si="1"/>
        <v>30</v>
      </c>
      <c r="E21" s="9" t="s">
        <v>30</v>
      </c>
      <c r="F21" s="5">
        <v>25</v>
      </c>
      <c r="G21" s="7" t="s">
        <v>30</v>
      </c>
      <c r="H21" s="5">
        <v>30</v>
      </c>
    </row>
    <row r="22" spans="1:8" x14ac:dyDescent="0.25">
      <c r="A22" s="9" t="s">
        <v>70</v>
      </c>
      <c r="B22" s="5">
        <v>20</v>
      </c>
      <c r="C22">
        <f t="shared" si="0"/>
        <v>0</v>
      </c>
      <c r="D22">
        <f t="shared" si="1"/>
        <v>0</v>
      </c>
      <c r="E22" s="9" t="s">
        <v>31</v>
      </c>
      <c r="F22" s="5">
        <v>25</v>
      </c>
      <c r="G22" s="7" t="s">
        <v>31</v>
      </c>
      <c r="H22" s="5">
        <v>30</v>
      </c>
    </row>
    <row r="23" spans="1:8" x14ac:dyDescent="0.25">
      <c r="A23" s="9" t="s">
        <v>34</v>
      </c>
      <c r="B23" s="5">
        <v>20</v>
      </c>
      <c r="C23" s="5">
        <f t="shared" si="0"/>
        <v>25</v>
      </c>
      <c r="D23" s="5">
        <f t="shared" si="1"/>
        <v>30</v>
      </c>
      <c r="E23" s="9" t="s">
        <v>32</v>
      </c>
      <c r="F23" s="5">
        <v>25</v>
      </c>
      <c r="G23" s="7" t="s">
        <v>32</v>
      </c>
      <c r="H23" s="5">
        <v>30</v>
      </c>
    </row>
    <row r="24" spans="1:8" x14ac:dyDescent="0.25">
      <c r="A24" s="9" t="s">
        <v>35</v>
      </c>
      <c r="B24" s="5">
        <v>20</v>
      </c>
      <c r="C24" s="5">
        <f t="shared" si="0"/>
        <v>25</v>
      </c>
      <c r="D24" s="5">
        <f t="shared" si="1"/>
        <v>30</v>
      </c>
      <c r="E24" s="9" t="s">
        <v>33</v>
      </c>
      <c r="F24" s="5">
        <v>25</v>
      </c>
      <c r="G24" s="7" t="s">
        <v>33</v>
      </c>
      <c r="H24" s="5">
        <v>30</v>
      </c>
    </row>
    <row r="25" spans="1:8" x14ac:dyDescent="0.25">
      <c r="A25" s="9" t="s">
        <v>36</v>
      </c>
      <c r="B25" s="5">
        <v>20</v>
      </c>
      <c r="C25" s="5">
        <f t="shared" si="0"/>
        <v>25</v>
      </c>
      <c r="D25" s="5">
        <f t="shared" si="1"/>
        <v>30</v>
      </c>
      <c r="E25" s="9" t="s">
        <v>34</v>
      </c>
      <c r="F25" s="5">
        <v>25</v>
      </c>
      <c r="G25" s="7" t="s">
        <v>34</v>
      </c>
      <c r="H25" s="5">
        <v>30</v>
      </c>
    </row>
    <row r="26" spans="1:8" x14ac:dyDescent="0.25">
      <c r="A26" s="9" t="s">
        <v>37</v>
      </c>
      <c r="B26" s="5">
        <v>20</v>
      </c>
      <c r="C26" s="5">
        <f t="shared" si="0"/>
        <v>25</v>
      </c>
      <c r="D26" s="5">
        <f t="shared" si="1"/>
        <v>30</v>
      </c>
      <c r="E26" s="9" t="s">
        <v>35</v>
      </c>
      <c r="F26" s="5">
        <v>25</v>
      </c>
      <c r="G26" s="7" t="s">
        <v>35</v>
      </c>
      <c r="H26" s="5">
        <v>30</v>
      </c>
    </row>
    <row r="27" spans="1:8" x14ac:dyDescent="0.25">
      <c r="A27" s="9" t="s">
        <v>71</v>
      </c>
      <c r="B27" s="5">
        <v>20</v>
      </c>
      <c r="C27" s="5">
        <f t="shared" si="0"/>
        <v>25</v>
      </c>
      <c r="D27" s="5">
        <f t="shared" si="1"/>
        <v>30</v>
      </c>
      <c r="E27" s="9" t="s">
        <v>36</v>
      </c>
      <c r="F27" s="5">
        <v>25</v>
      </c>
      <c r="G27" s="7" t="s">
        <v>36</v>
      </c>
      <c r="H27" s="5">
        <v>30</v>
      </c>
    </row>
    <row r="28" spans="1:8" x14ac:dyDescent="0.25">
      <c r="A28" s="9" t="s">
        <v>72</v>
      </c>
      <c r="B28" s="5">
        <v>20</v>
      </c>
      <c r="C28" s="5">
        <f t="shared" si="0"/>
        <v>25</v>
      </c>
      <c r="D28" s="5">
        <f t="shared" si="1"/>
        <v>30</v>
      </c>
      <c r="E28" s="9" t="s">
        <v>37</v>
      </c>
      <c r="F28" s="5">
        <v>25</v>
      </c>
      <c r="G28" s="7" t="s">
        <v>37</v>
      </c>
      <c r="H28" s="5">
        <v>30</v>
      </c>
    </row>
    <row r="29" spans="1:8" x14ac:dyDescent="0.25">
      <c r="A29" s="9" t="s">
        <v>73</v>
      </c>
      <c r="B29" s="5">
        <v>20</v>
      </c>
      <c r="C29" s="5">
        <f t="shared" si="0"/>
        <v>25</v>
      </c>
      <c r="D29" s="5">
        <f t="shared" si="1"/>
        <v>30</v>
      </c>
      <c r="E29" s="9" t="s">
        <v>71</v>
      </c>
      <c r="F29" s="5">
        <v>25</v>
      </c>
      <c r="G29" s="7" t="s">
        <v>71</v>
      </c>
      <c r="H29" s="5">
        <v>30</v>
      </c>
    </row>
    <row r="30" spans="1:8" x14ac:dyDescent="0.25">
      <c r="A30" s="9" t="s">
        <v>38</v>
      </c>
      <c r="B30" s="5">
        <v>20</v>
      </c>
      <c r="C30">
        <f t="shared" si="0"/>
        <v>0</v>
      </c>
      <c r="D30" s="5">
        <f t="shared" si="1"/>
        <v>30</v>
      </c>
      <c r="E30" s="9" t="s">
        <v>72</v>
      </c>
      <c r="F30" s="5">
        <v>25</v>
      </c>
      <c r="G30" s="7" t="s">
        <v>72</v>
      </c>
      <c r="H30" s="5">
        <v>30</v>
      </c>
    </row>
    <row r="31" spans="1:8" x14ac:dyDescent="0.25">
      <c r="A31" s="9" t="s">
        <v>39</v>
      </c>
      <c r="B31" s="5">
        <v>20</v>
      </c>
      <c r="C31">
        <f t="shared" si="0"/>
        <v>0</v>
      </c>
      <c r="D31">
        <f t="shared" si="1"/>
        <v>0</v>
      </c>
      <c r="E31" s="9" t="s">
        <v>77</v>
      </c>
      <c r="F31" s="5">
        <v>25</v>
      </c>
      <c r="G31" s="7" t="s">
        <v>77</v>
      </c>
      <c r="H31" s="5">
        <v>30</v>
      </c>
    </row>
    <row r="32" spans="1:8" x14ac:dyDescent="0.25">
      <c r="A32" s="9" t="s">
        <v>40</v>
      </c>
      <c r="B32" s="5">
        <v>20</v>
      </c>
      <c r="C32">
        <f t="shared" si="0"/>
        <v>0</v>
      </c>
      <c r="D32">
        <f t="shared" si="1"/>
        <v>0</v>
      </c>
      <c r="E32" s="9" t="s">
        <v>73</v>
      </c>
      <c r="F32" s="5">
        <v>25</v>
      </c>
      <c r="G32" s="7" t="s">
        <v>73</v>
      </c>
      <c r="H32" s="5">
        <v>30</v>
      </c>
    </row>
    <row r="33" spans="1:8" x14ac:dyDescent="0.25">
      <c r="A33" s="9" t="s">
        <v>74</v>
      </c>
      <c r="B33" s="5">
        <v>20</v>
      </c>
      <c r="C33">
        <f t="shared" si="0"/>
        <v>0</v>
      </c>
      <c r="D33">
        <f t="shared" si="1"/>
        <v>0</v>
      </c>
      <c r="E33" s="9" t="s">
        <v>78</v>
      </c>
      <c r="F33" s="5">
        <v>25</v>
      </c>
      <c r="G33" s="7" t="s">
        <v>78</v>
      </c>
      <c r="H33" s="5">
        <v>30</v>
      </c>
    </row>
    <row r="34" spans="1:8" x14ac:dyDescent="0.25">
      <c r="A34" s="9" t="s">
        <v>42</v>
      </c>
      <c r="B34" s="5">
        <v>20</v>
      </c>
      <c r="C34" s="5">
        <f t="shared" si="0"/>
        <v>25</v>
      </c>
      <c r="D34" s="5">
        <f t="shared" si="1"/>
        <v>30</v>
      </c>
      <c r="E34" s="9" t="s">
        <v>79</v>
      </c>
      <c r="F34" s="5">
        <v>25</v>
      </c>
      <c r="G34" s="7" t="s">
        <v>79</v>
      </c>
      <c r="H34" s="5">
        <v>30</v>
      </c>
    </row>
    <row r="35" spans="1:8" x14ac:dyDescent="0.25">
      <c r="A35" s="9" t="s">
        <v>75</v>
      </c>
      <c r="C35" s="5">
        <f t="shared" si="0"/>
        <v>25</v>
      </c>
      <c r="D35">
        <f t="shared" si="1"/>
        <v>0</v>
      </c>
      <c r="E35" s="9" t="s">
        <v>80</v>
      </c>
      <c r="F35" s="5">
        <v>25</v>
      </c>
      <c r="G35" s="7" t="s">
        <v>80</v>
      </c>
      <c r="H35" s="5">
        <v>30</v>
      </c>
    </row>
    <row r="36" spans="1:8" x14ac:dyDescent="0.25">
      <c r="A36" s="9" t="s">
        <v>43</v>
      </c>
      <c r="C36" s="5">
        <f t="shared" si="0"/>
        <v>25</v>
      </c>
      <c r="D36" s="5">
        <f t="shared" si="1"/>
        <v>30</v>
      </c>
      <c r="E36" s="9" t="s">
        <v>81</v>
      </c>
      <c r="F36" s="5">
        <v>25</v>
      </c>
      <c r="G36" s="7" t="s">
        <v>50</v>
      </c>
      <c r="H36" s="5">
        <v>30</v>
      </c>
    </row>
    <row r="37" spans="1:8" x14ac:dyDescent="0.25">
      <c r="A37" s="9" t="s">
        <v>76</v>
      </c>
      <c r="C37" s="5">
        <f t="shared" si="0"/>
        <v>25</v>
      </c>
      <c r="D37" s="5">
        <f t="shared" si="1"/>
        <v>30</v>
      </c>
      <c r="E37" s="9" t="s">
        <v>47</v>
      </c>
      <c r="F37" s="5">
        <v>25</v>
      </c>
      <c r="G37" s="7" t="s">
        <v>51</v>
      </c>
      <c r="H37" s="5">
        <v>30</v>
      </c>
    </row>
    <row r="38" spans="1:8" x14ac:dyDescent="0.25">
      <c r="A38" s="9" t="s">
        <v>45</v>
      </c>
      <c r="C38" s="5">
        <f t="shared" si="0"/>
        <v>25</v>
      </c>
      <c r="D38" s="5">
        <f t="shared" si="1"/>
        <v>30</v>
      </c>
      <c r="E38" s="9" t="s">
        <v>48</v>
      </c>
      <c r="F38" s="5">
        <v>25</v>
      </c>
      <c r="G38" s="7" t="s">
        <v>62</v>
      </c>
      <c r="H38" s="5">
        <v>30</v>
      </c>
    </row>
    <row r="39" spans="1:8" x14ac:dyDescent="0.25">
      <c r="A39" s="9" t="s">
        <v>33</v>
      </c>
      <c r="C39" s="5">
        <f t="shared" si="0"/>
        <v>25</v>
      </c>
      <c r="D39" s="5">
        <f t="shared" si="1"/>
        <v>30</v>
      </c>
      <c r="E39" s="9" t="s">
        <v>49</v>
      </c>
      <c r="F39" s="5">
        <v>25</v>
      </c>
      <c r="G39" s="7" t="s">
        <v>63</v>
      </c>
      <c r="H39" s="5">
        <v>30</v>
      </c>
    </row>
    <row r="40" spans="1:8" x14ac:dyDescent="0.25">
      <c r="A40" s="9" t="s">
        <v>77</v>
      </c>
      <c r="C40" s="5">
        <f t="shared" si="0"/>
        <v>25</v>
      </c>
      <c r="D40" s="5">
        <f t="shared" si="1"/>
        <v>30</v>
      </c>
      <c r="E40" s="9" t="s">
        <v>50</v>
      </c>
      <c r="F40" s="5">
        <v>25</v>
      </c>
      <c r="G40" s="7" t="s">
        <v>38</v>
      </c>
      <c r="H40" s="5">
        <v>30</v>
      </c>
    </row>
    <row r="41" spans="1:8" x14ac:dyDescent="0.25">
      <c r="A41" s="9" t="s">
        <v>78</v>
      </c>
      <c r="C41" s="5">
        <f t="shared" si="0"/>
        <v>25</v>
      </c>
      <c r="D41" s="5">
        <f t="shared" si="1"/>
        <v>30</v>
      </c>
      <c r="E41" s="9" t="s">
        <v>51</v>
      </c>
      <c r="F41" s="5">
        <v>25</v>
      </c>
      <c r="G41" s="7" t="s">
        <v>52</v>
      </c>
      <c r="H41" s="5">
        <v>30</v>
      </c>
    </row>
    <row r="42" spans="1:8" x14ac:dyDescent="0.25">
      <c r="A42" s="9" t="s">
        <v>79</v>
      </c>
      <c r="C42" s="5">
        <f t="shared" si="0"/>
        <v>25</v>
      </c>
      <c r="D42" s="5">
        <f t="shared" si="1"/>
        <v>30</v>
      </c>
      <c r="E42" s="9" t="s">
        <v>52</v>
      </c>
      <c r="F42" s="5">
        <v>25</v>
      </c>
      <c r="G42" s="7" t="s">
        <v>53</v>
      </c>
      <c r="H42" s="5">
        <v>30</v>
      </c>
    </row>
    <row r="43" spans="1:8" x14ac:dyDescent="0.25">
      <c r="A43" s="9" t="s">
        <v>80</v>
      </c>
      <c r="C43" s="5">
        <f t="shared" si="0"/>
        <v>25</v>
      </c>
      <c r="D43" s="5">
        <f t="shared" si="1"/>
        <v>30</v>
      </c>
      <c r="E43" s="9" t="s">
        <v>53</v>
      </c>
      <c r="F43" s="5">
        <v>25</v>
      </c>
      <c r="G43" s="7" t="s">
        <v>54</v>
      </c>
      <c r="H43" s="5">
        <v>30</v>
      </c>
    </row>
    <row r="44" spans="1:8" x14ac:dyDescent="0.25">
      <c r="A44" s="9" t="s">
        <v>81</v>
      </c>
      <c r="C44" s="5">
        <f t="shared" si="0"/>
        <v>25</v>
      </c>
      <c r="D44" s="5">
        <f t="shared" si="1"/>
        <v>0</v>
      </c>
      <c r="E44" s="9" t="s">
        <v>82</v>
      </c>
      <c r="F44" s="5">
        <v>25</v>
      </c>
    </row>
    <row r="45" spans="1:8" x14ac:dyDescent="0.25">
      <c r="A45" s="9" t="s">
        <v>47</v>
      </c>
      <c r="C45" s="5">
        <f t="shared" si="0"/>
        <v>25</v>
      </c>
      <c r="D45" s="5">
        <f t="shared" si="1"/>
        <v>0</v>
      </c>
      <c r="E45" s="9" t="s">
        <v>41</v>
      </c>
      <c r="F45" s="5">
        <v>25</v>
      </c>
    </row>
    <row r="46" spans="1:8" x14ac:dyDescent="0.25">
      <c r="A46" s="9" t="s">
        <v>48</v>
      </c>
      <c r="C46" s="5">
        <f t="shared" si="0"/>
        <v>25</v>
      </c>
      <c r="D46" s="5">
        <f t="shared" si="1"/>
        <v>0</v>
      </c>
      <c r="E46" s="9" t="s">
        <v>42</v>
      </c>
      <c r="F46" s="5">
        <v>25</v>
      </c>
    </row>
    <row r="47" spans="1:8" x14ac:dyDescent="0.25">
      <c r="A47" s="9" t="s">
        <v>49</v>
      </c>
      <c r="C47" s="5">
        <f t="shared" si="0"/>
        <v>25</v>
      </c>
      <c r="D47" s="5">
        <f t="shared" si="1"/>
        <v>0</v>
      </c>
    </row>
    <row r="48" spans="1:8" x14ac:dyDescent="0.25">
      <c r="A48" s="9" t="s">
        <v>50</v>
      </c>
      <c r="C48" s="5">
        <f t="shared" si="0"/>
        <v>25</v>
      </c>
      <c r="D48" s="5">
        <f t="shared" si="1"/>
        <v>30</v>
      </c>
    </row>
    <row r="49" spans="1:5" x14ac:dyDescent="0.25">
      <c r="A49" s="9" t="s">
        <v>51</v>
      </c>
      <c r="C49" s="5">
        <f t="shared" si="0"/>
        <v>25</v>
      </c>
      <c r="D49" s="5">
        <f t="shared" si="1"/>
        <v>30</v>
      </c>
    </row>
    <row r="50" spans="1:5" x14ac:dyDescent="0.25">
      <c r="A50" s="9" t="s">
        <v>52</v>
      </c>
      <c r="C50" s="5">
        <f t="shared" si="0"/>
        <v>25</v>
      </c>
      <c r="D50" s="5">
        <f t="shared" si="1"/>
        <v>30</v>
      </c>
    </row>
    <row r="51" spans="1:5" x14ac:dyDescent="0.25">
      <c r="A51" s="9" t="s">
        <v>53</v>
      </c>
      <c r="C51" s="5">
        <f t="shared" si="0"/>
        <v>25</v>
      </c>
      <c r="D51" s="5">
        <f t="shared" si="1"/>
        <v>30</v>
      </c>
    </row>
    <row r="52" spans="1:5" x14ac:dyDescent="0.25">
      <c r="A52" s="9" t="s">
        <v>82</v>
      </c>
      <c r="C52" s="5">
        <f t="shared" si="0"/>
        <v>25</v>
      </c>
      <c r="D52">
        <f t="shared" si="1"/>
        <v>0</v>
      </c>
    </row>
    <row r="53" spans="1:5" x14ac:dyDescent="0.25">
      <c r="A53" s="9" t="s">
        <v>41</v>
      </c>
      <c r="C53" s="5">
        <f t="shared" si="0"/>
        <v>25</v>
      </c>
      <c r="D53">
        <f t="shared" si="1"/>
        <v>0</v>
      </c>
      <c r="E53"/>
    </row>
    <row r="54" spans="1:5" x14ac:dyDescent="0.25">
      <c r="A54" s="7" t="s">
        <v>55</v>
      </c>
      <c r="C54" s="5">
        <f t="shared" si="0"/>
        <v>0</v>
      </c>
      <c r="D54" s="5">
        <f t="shared" si="1"/>
        <v>30</v>
      </c>
    </row>
    <row r="55" spans="1:5" x14ac:dyDescent="0.25">
      <c r="A55" s="7" t="s">
        <v>46</v>
      </c>
      <c r="C55" s="5">
        <f t="shared" si="0"/>
        <v>0</v>
      </c>
      <c r="D55" s="5">
        <f t="shared" si="1"/>
        <v>30</v>
      </c>
    </row>
    <row r="56" spans="1:5" x14ac:dyDescent="0.25">
      <c r="A56" s="7" t="s">
        <v>62</v>
      </c>
      <c r="C56" s="5">
        <f t="shared" si="0"/>
        <v>0</v>
      </c>
      <c r="D56" s="5">
        <f t="shared" si="1"/>
        <v>30</v>
      </c>
    </row>
    <row r="57" spans="1:5" x14ac:dyDescent="0.25">
      <c r="A57" s="7" t="s">
        <v>63</v>
      </c>
      <c r="C57" s="5">
        <f t="shared" si="0"/>
        <v>0</v>
      </c>
      <c r="D57" s="5">
        <f t="shared" si="1"/>
        <v>30</v>
      </c>
    </row>
  </sheetData>
  <conditionalFormatting sqref="A54:A57">
    <cfRule type="duplicateValues" dxfId="0" priority="1"/>
  </conditionalFormatting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40"/>
  <sheetViews>
    <sheetView workbookViewId="0">
      <selection activeCell="D40" sqref="A2:D40"/>
    </sheetView>
  </sheetViews>
  <sheetFormatPr defaultRowHeight="15" x14ac:dyDescent="0.25"/>
  <cols>
    <col min="1" max="1" width="76.5703125" bestFit="1" customWidth="1"/>
    <col min="6" max="6" width="81.28515625" bestFit="1" customWidth="1"/>
    <col min="8" max="8" width="81.28515625" bestFit="1" customWidth="1"/>
  </cols>
  <sheetData>
    <row r="1" spans="1:9" x14ac:dyDescent="0.25">
      <c r="A1" s="10" t="s">
        <v>13</v>
      </c>
      <c r="B1">
        <v>20</v>
      </c>
      <c r="C1">
        <v>25</v>
      </c>
      <c r="D1">
        <v>30</v>
      </c>
      <c r="F1" s="10" t="s">
        <v>13</v>
      </c>
      <c r="G1">
        <v>25</v>
      </c>
      <c r="H1" s="10" t="s">
        <v>13</v>
      </c>
      <c r="I1">
        <v>30</v>
      </c>
    </row>
    <row r="2" spans="1:9" x14ac:dyDescent="0.25">
      <c r="A2" s="11" t="s">
        <v>14</v>
      </c>
      <c r="B2" s="12">
        <v>20</v>
      </c>
      <c r="C2" s="12">
        <f>IFERROR(VLOOKUP(A2,F:G,2,FALSE),0)</f>
        <v>25</v>
      </c>
      <c r="D2" s="12">
        <f>IFERROR(VLOOKUP($A2,H:I,2,FALSE),0)</f>
        <v>30</v>
      </c>
      <c r="F2" s="11" t="s">
        <v>14</v>
      </c>
      <c r="G2">
        <v>25</v>
      </c>
      <c r="H2" s="11" t="s">
        <v>14</v>
      </c>
      <c r="I2">
        <v>30</v>
      </c>
    </row>
    <row r="3" spans="1:9" x14ac:dyDescent="0.25">
      <c r="A3" s="11" t="s">
        <v>16</v>
      </c>
      <c r="B3" s="12">
        <v>20</v>
      </c>
      <c r="C3" s="12">
        <f t="shared" ref="C3:C39" si="0">IFERROR(VLOOKUP(A3,F:G,2,FALSE),0)</f>
        <v>25</v>
      </c>
      <c r="D3" s="12">
        <f t="shared" ref="D3:D40" si="1">IFERROR(VLOOKUP($A3,H:I,2,FALSE),0)</f>
        <v>30</v>
      </c>
      <c r="F3" s="11" t="s">
        <v>16</v>
      </c>
      <c r="G3">
        <v>25</v>
      </c>
      <c r="H3" s="11" t="s">
        <v>16</v>
      </c>
      <c r="I3">
        <v>30</v>
      </c>
    </row>
    <row r="4" spans="1:9" x14ac:dyDescent="0.25">
      <c r="A4" s="11" t="s">
        <v>17</v>
      </c>
      <c r="B4" s="12">
        <v>20</v>
      </c>
      <c r="C4" s="12">
        <f t="shared" si="0"/>
        <v>25</v>
      </c>
      <c r="D4" s="12">
        <f t="shared" si="1"/>
        <v>30</v>
      </c>
      <c r="F4" s="11" t="s">
        <v>17</v>
      </c>
      <c r="G4">
        <v>25</v>
      </c>
      <c r="H4" s="11" t="s">
        <v>17</v>
      </c>
      <c r="I4">
        <v>30</v>
      </c>
    </row>
    <row r="5" spans="1:9" x14ac:dyDescent="0.25">
      <c r="A5" s="11" t="s">
        <v>19</v>
      </c>
      <c r="B5" s="12">
        <v>20</v>
      </c>
      <c r="C5" s="12">
        <f t="shared" si="0"/>
        <v>25</v>
      </c>
      <c r="D5" s="12">
        <f t="shared" si="1"/>
        <v>30</v>
      </c>
      <c r="F5" s="11" t="s">
        <v>19</v>
      </c>
      <c r="G5">
        <v>25</v>
      </c>
      <c r="H5" s="11" t="s">
        <v>19</v>
      </c>
      <c r="I5">
        <v>30</v>
      </c>
    </row>
    <row r="6" spans="1:9" x14ac:dyDescent="0.25">
      <c r="A6" s="11" t="s">
        <v>83</v>
      </c>
      <c r="B6" s="12">
        <v>20</v>
      </c>
      <c r="C6" s="12">
        <f t="shared" si="0"/>
        <v>0</v>
      </c>
      <c r="D6" s="12">
        <f t="shared" si="1"/>
        <v>30</v>
      </c>
      <c r="F6" s="11" t="s">
        <v>87</v>
      </c>
      <c r="G6">
        <v>25</v>
      </c>
      <c r="H6" s="11" t="s">
        <v>83</v>
      </c>
      <c r="I6">
        <v>30</v>
      </c>
    </row>
    <row r="7" spans="1:9" x14ac:dyDescent="0.25">
      <c r="A7" s="11" t="s">
        <v>20</v>
      </c>
      <c r="B7" s="12">
        <v>20</v>
      </c>
      <c r="C7" s="12">
        <f t="shared" si="0"/>
        <v>25</v>
      </c>
      <c r="D7" s="12">
        <f t="shared" si="1"/>
        <v>30</v>
      </c>
      <c r="F7" s="11" t="s">
        <v>20</v>
      </c>
      <c r="G7">
        <v>25</v>
      </c>
      <c r="H7" s="11" t="s">
        <v>20</v>
      </c>
      <c r="I7">
        <v>30</v>
      </c>
    </row>
    <row r="8" spans="1:9" x14ac:dyDescent="0.25">
      <c r="A8" s="11" t="s">
        <v>84</v>
      </c>
      <c r="B8" s="12">
        <v>20</v>
      </c>
      <c r="C8" s="12">
        <f t="shared" si="0"/>
        <v>0</v>
      </c>
      <c r="D8" s="12">
        <f t="shared" si="1"/>
        <v>0</v>
      </c>
      <c r="F8" s="11" t="s">
        <v>21</v>
      </c>
      <c r="G8">
        <v>25</v>
      </c>
      <c r="H8" s="11" t="s">
        <v>21</v>
      </c>
      <c r="I8">
        <v>30</v>
      </c>
    </row>
    <row r="9" spans="1:9" x14ac:dyDescent="0.25">
      <c r="A9" s="11" t="s">
        <v>85</v>
      </c>
      <c r="B9" s="12">
        <v>20</v>
      </c>
      <c r="C9" s="12">
        <f t="shared" si="0"/>
        <v>25</v>
      </c>
      <c r="D9" s="12">
        <f t="shared" si="1"/>
        <v>30</v>
      </c>
      <c r="F9" s="11" t="s">
        <v>43</v>
      </c>
      <c r="G9">
        <v>25</v>
      </c>
      <c r="H9" s="11" t="s">
        <v>43</v>
      </c>
      <c r="I9">
        <v>30</v>
      </c>
    </row>
    <row r="10" spans="1:9" x14ac:dyDescent="0.25">
      <c r="A10" s="11" t="s">
        <v>24</v>
      </c>
      <c r="B10" s="12">
        <v>20</v>
      </c>
      <c r="C10" s="12">
        <f t="shared" si="0"/>
        <v>25</v>
      </c>
      <c r="D10" s="12">
        <f t="shared" si="1"/>
        <v>30</v>
      </c>
      <c r="F10" s="11" t="s">
        <v>85</v>
      </c>
      <c r="G10">
        <v>25</v>
      </c>
      <c r="H10" s="11" t="s">
        <v>85</v>
      </c>
      <c r="I10">
        <v>30</v>
      </c>
    </row>
    <row r="11" spans="1:9" x14ac:dyDescent="0.25">
      <c r="A11" s="11" t="s">
        <v>25</v>
      </c>
      <c r="B11" s="12">
        <v>20</v>
      </c>
      <c r="C11" s="12">
        <f t="shared" si="0"/>
        <v>25</v>
      </c>
      <c r="D11" s="12">
        <f t="shared" si="1"/>
        <v>30</v>
      </c>
      <c r="F11" s="11" t="s">
        <v>22</v>
      </c>
      <c r="G11">
        <v>25</v>
      </c>
      <c r="H11" s="11" t="s">
        <v>22</v>
      </c>
      <c r="I11">
        <v>30</v>
      </c>
    </row>
    <row r="12" spans="1:9" x14ac:dyDescent="0.25">
      <c r="A12" s="11" t="s">
        <v>26</v>
      </c>
      <c r="B12" s="12">
        <v>20</v>
      </c>
      <c r="C12" s="12">
        <f t="shared" si="0"/>
        <v>25</v>
      </c>
      <c r="D12" s="12">
        <f t="shared" si="1"/>
        <v>0</v>
      </c>
      <c r="F12" s="11" t="s">
        <v>24</v>
      </c>
      <c r="G12">
        <v>25</v>
      </c>
      <c r="H12" s="11" t="s">
        <v>24</v>
      </c>
      <c r="I12">
        <v>30</v>
      </c>
    </row>
    <row r="13" spans="1:9" x14ac:dyDescent="0.25">
      <c r="A13" s="11" t="s">
        <v>28</v>
      </c>
      <c r="B13" s="12">
        <v>20</v>
      </c>
      <c r="C13" s="12">
        <f t="shared" si="0"/>
        <v>25</v>
      </c>
      <c r="D13" s="12">
        <f t="shared" si="1"/>
        <v>30</v>
      </c>
      <c r="F13" s="11" t="s">
        <v>25</v>
      </c>
      <c r="G13">
        <v>25</v>
      </c>
      <c r="H13" s="11" t="s">
        <v>25</v>
      </c>
      <c r="I13">
        <v>30</v>
      </c>
    </row>
    <row r="14" spans="1:9" x14ac:dyDescent="0.25">
      <c r="A14" s="11" t="s">
        <v>29</v>
      </c>
      <c r="B14" s="12">
        <v>20</v>
      </c>
      <c r="C14" s="12">
        <f t="shared" si="0"/>
        <v>25</v>
      </c>
      <c r="D14" s="12">
        <f t="shared" si="1"/>
        <v>30</v>
      </c>
      <c r="F14" s="11" t="s">
        <v>26</v>
      </c>
      <c r="G14">
        <v>25</v>
      </c>
      <c r="H14" s="11" t="s">
        <v>46</v>
      </c>
      <c r="I14">
        <v>30</v>
      </c>
    </row>
    <row r="15" spans="1:9" x14ac:dyDescent="0.25">
      <c r="A15" s="11" t="s">
        <v>30</v>
      </c>
      <c r="B15" s="12">
        <v>20</v>
      </c>
      <c r="C15" s="12">
        <f t="shared" si="0"/>
        <v>25</v>
      </c>
      <c r="D15" s="12">
        <f t="shared" si="1"/>
        <v>30</v>
      </c>
      <c r="F15" s="11" t="s">
        <v>28</v>
      </c>
      <c r="G15">
        <v>25</v>
      </c>
      <c r="H15" s="11" t="s">
        <v>28</v>
      </c>
      <c r="I15">
        <v>30</v>
      </c>
    </row>
    <row r="16" spans="1:9" x14ac:dyDescent="0.25">
      <c r="A16" s="11" t="s">
        <v>31</v>
      </c>
      <c r="B16" s="12">
        <v>20</v>
      </c>
      <c r="C16" s="12">
        <f t="shared" si="0"/>
        <v>25</v>
      </c>
      <c r="D16" s="12">
        <f t="shared" si="1"/>
        <v>30</v>
      </c>
      <c r="F16" s="11" t="s">
        <v>29</v>
      </c>
      <c r="G16">
        <v>25</v>
      </c>
      <c r="H16" s="11" t="s">
        <v>29</v>
      </c>
      <c r="I16">
        <v>30</v>
      </c>
    </row>
    <row r="17" spans="1:9" x14ac:dyDescent="0.25">
      <c r="A17" s="11" t="s">
        <v>32</v>
      </c>
      <c r="B17" s="12">
        <v>20</v>
      </c>
      <c r="C17" s="12">
        <f t="shared" si="0"/>
        <v>25</v>
      </c>
      <c r="D17" s="12">
        <f t="shared" si="1"/>
        <v>30</v>
      </c>
      <c r="F17" s="11" t="s">
        <v>30</v>
      </c>
      <c r="G17">
        <v>25</v>
      </c>
      <c r="H17" s="11" t="s">
        <v>30</v>
      </c>
      <c r="I17">
        <v>30</v>
      </c>
    </row>
    <row r="18" spans="1:9" x14ac:dyDescent="0.25">
      <c r="A18" s="11" t="s">
        <v>33</v>
      </c>
      <c r="B18" s="12">
        <v>20</v>
      </c>
      <c r="C18" s="12">
        <f t="shared" si="0"/>
        <v>25</v>
      </c>
      <c r="D18" s="12">
        <f t="shared" si="1"/>
        <v>30</v>
      </c>
      <c r="F18" s="11" t="s">
        <v>31</v>
      </c>
      <c r="G18">
        <v>25</v>
      </c>
      <c r="H18" s="11" t="s">
        <v>31</v>
      </c>
      <c r="I18">
        <v>30</v>
      </c>
    </row>
    <row r="19" spans="1:9" x14ac:dyDescent="0.25">
      <c r="A19" s="11" t="s">
        <v>34</v>
      </c>
      <c r="B19" s="12">
        <v>20</v>
      </c>
      <c r="C19" s="12">
        <f t="shared" si="0"/>
        <v>25</v>
      </c>
      <c r="D19" s="12">
        <f t="shared" si="1"/>
        <v>30</v>
      </c>
      <c r="F19" s="11" t="s">
        <v>32</v>
      </c>
      <c r="G19">
        <v>25</v>
      </c>
      <c r="H19" s="11" t="s">
        <v>32</v>
      </c>
      <c r="I19">
        <v>30</v>
      </c>
    </row>
    <row r="20" spans="1:9" x14ac:dyDescent="0.25">
      <c r="A20" s="11" t="s">
        <v>35</v>
      </c>
      <c r="B20" s="12">
        <v>20</v>
      </c>
      <c r="C20" s="12">
        <f t="shared" si="0"/>
        <v>25</v>
      </c>
      <c r="D20" s="12">
        <f t="shared" si="1"/>
        <v>30</v>
      </c>
      <c r="F20" s="11" t="s">
        <v>33</v>
      </c>
      <c r="G20">
        <v>25</v>
      </c>
      <c r="H20" s="11" t="s">
        <v>33</v>
      </c>
      <c r="I20">
        <v>30</v>
      </c>
    </row>
    <row r="21" spans="1:9" x14ac:dyDescent="0.25">
      <c r="A21" s="11" t="s">
        <v>36</v>
      </c>
      <c r="B21" s="12">
        <v>20</v>
      </c>
      <c r="C21" s="12">
        <f t="shared" si="0"/>
        <v>25</v>
      </c>
      <c r="D21" s="12">
        <f t="shared" si="1"/>
        <v>30</v>
      </c>
      <c r="F21" s="11" t="s">
        <v>34</v>
      </c>
      <c r="G21">
        <v>25</v>
      </c>
      <c r="H21" s="11" t="s">
        <v>34</v>
      </c>
      <c r="I21">
        <v>30</v>
      </c>
    </row>
    <row r="22" spans="1:9" x14ac:dyDescent="0.25">
      <c r="A22" s="11" t="s">
        <v>37</v>
      </c>
      <c r="B22" s="12">
        <v>20</v>
      </c>
      <c r="C22" s="12">
        <f t="shared" si="0"/>
        <v>25</v>
      </c>
      <c r="D22" s="12">
        <f t="shared" si="1"/>
        <v>30</v>
      </c>
      <c r="F22" s="11" t="s">
        <v>35</v>
      </c>
      <c r="G22">
        <v>25</v>
      </c>
      <c r="H22" s="11" t="s">
        <v>35</v>
      </c>
      <c r="I22">
        <v>30</v>
      </c>
    </row>
    <row r="23" spans="1:9" x14ac:dyDescent="0.25">
      <c r="A23" s="11" t="s">
        <v>50</v>
      </c>
      <c r="B23" s="12">
        <v>20</v>
      </c>
      <c r="C23" s="12">
        <f t="shared" si="0"/>
        <v>25</v>
      </c>
      <c r="D23" s="12">
        <f t="shared" si="1"/>
        <v>30</v>
      </c>
      <c r="F23" s="11" t="s">
        <v>36</v>
      </c>
      <c r="G23">
        <v>25</v>
      </c>
      <c r="H23" s="11" t="s">
        <v>36</v>
      </c>
      <c r="I23">
        <v>30</v>
      </c>
    </row>
    <row r="24" spans="1:9" x14ac:dyDescent="0.25">
      <c r="A24" s="11" t="s">
        <v>38</v>
      </c>
      <c r="B24" s="12">
        <v>20</v>
      </c>
      <c r="C24" s="12">
        <f t="shared" si="0"/>
        <v>0</v>
      </c>
      <c r="D24" s="12">
        <f t="shared" si="1"/>
        <v>0</v>
      </c>
      <c r="F24" s="11" t="s">
        <v>37</v>
      </c>
      <c r="G24">
        <v>25</v>
      </c>
      <c r="H24" s="11" t="s">
        <v>37</v>
      </c>
      <c r="I24">
        <v>30</v>
      </c>
    </row>
    <row r="25" spans="1:9" x14ac:dyDescent="0.25">
      <c r="A25" s="11" t="s">
        <v>86</v>
      </c>
      <c r="B25" s="12">
        <v>20</v>
      </c>
      <c r="C25" s="12">
        <f t="shared" si="0"/>
        <v>0</v>
      </c>
      <c r="D25" s="12">
        <f t="shared" si="1"/>
        <v>0</v>
      </c>
      <c r="F25" s="11" t="s">
        <v>47</v>
      </c>
      <c r="G25">
        <v>25</v>
      </c>
      <c r="H25" s="11" t="s">
        <v>47</v>
      </c>
      <c r="I25">
        <v>30</v>
      </c>
    </row>
    <row r="26" spans="1:9" x14ac:dyDescent="0.25">
      <c r="A26" s="11" t="s">
        <v>39</v>
      </c>
      <c r="B26" s="12">
        <v>20</v>
      </c>
      <c r="C26" s="12">
        <f t="shared" si="0"/>
        <v>0</v>
      </c>
      <c r="D26" s="12">
        <f t="shared" si="1"/>
        <v>0</v>
      </c>
      <c r="F26" s="11" t="s">
        <v>48</v>
      </c>
      <c r="G26">
        <v>25</v>
      </c>
      <c r="H26" s="11" t="s">
        <v>48</v>
      </c>
      <c r="I26">
        <v>30</v>
      </c>
    </row>
    <row r="27" spans="1:9" x14ac:dyDescent="0.25">
      <c r="A27" s="11" t="s">
        <v>74</v>
      </c>
      <c r="B27" s="12">
        <v>20</v>
      </c>
      <c r="C27" s="12">
        <f t="shared" si="0"/>
        <v>0</v>
      </c>
      <c r="D27" s="12">
        <f t="shared" si="1"/>
        <v>0</v>
      </c>
      <c r="F27" s="11" t="s">
        <v>49</v>
      </c>
      <c r="G27">
        <v>25</v>
      </c>
      <c r="H27" s="11" t="s">
        <v>49</v>
      </c>
      <c r="I27">
        <v>30</v>
      </c>
    </row>
    <row r="28" spans="1:9" x14ac:dyDescent="0.25">
      <c r="A28" s="11" t="s">
        <v>42</v>
      </c>
      <c r="B28" s="12">
        <v>20</v>
      </c>
      <c r="C28" s="12">
        <f t="shared" si="0"/>
        <v>25</v>
      </c>
      <c r="D28" s="12">
        <f t="shared" si="1"/>
        <v>30</v>
      </c>
      <c r="F28" s="11" t="s">
        <v>50</v>
      </c>
      <c r="G28">
        <v>25</v>
      </c>
      <c r="H28" s="11" t="s">
        <v>50</v>
      </c>
      <c r="I28">
        <v>30</v>
      </c>
    </row>
    <row r="29" spans="1:9" x14ac:dyDescent="0.25">
      <c r="A29" s="11" t="s">
        <v>87</v>
      </c>
      <c r="B29" s="12"/>
      <c r="C29" s="12">
        <f t="shared" si="0"/>
        <v>25</v>
      </c>
      <c r="D29" s="12">
        <f t="shared" si="1"/>
        <v>0</v>
      </c>
      <c r="F29" s="11" t="s">
        <v>52</v>
      </c>
      <c r="G29">
        <v>25</v>
      </c>
      <c r="H29" s="11" t="s">
        <v>52</v>
      </c>
      <c r="I29">
        <v>30</v>
      </c>
    </row>
    <row r="30" spans="1:9" x14ac:dyDescent="0.25">
      <c r="A30" s="11" t="s">
        <v>21</v>
      </c>
      <c r="B30" s="12"/>
      <c r="C30" s="12">
        <f t="shared" si="0"/>
        <v>25</v>
      </c>
      <c r="D30" s="12">
        <f t="shared" si="1"/>
        <v>30</v>
      </c>
      <c r="F30" s="11" t="s">
        <v>53</v>
      </c>
      <c r="G30">
        <v>25</v>
      </c>
      <c r="H30" s="11" t="s">
        <v>53</v>
      </c>
      <c r="I30">
        <v>30</v>
      </c>
    </row>
    <row r="31" spans="1:9" x14ac:dyDescent="0.25">
      <c r="A31" s="11" t="s">
        <v>43</v>
      </c>
      <c r="B31" s="12"/>
      <c r="C31" s="12">
        <f t="shared" si="0"/>
        <v>25</v>
      </c>
      <c r="D31" s="12">
        <f t="shared" si="1"/>
        <v>30</v>
      </c>
      <c r="F31" s="11" t="s">
        <v>88</v>
      </c>
      <c r="G31">
        <v>25</v>
      </c>
      <c r="H31" s="11" t="s">
        <v>54</v>
      </c>
      <c r="I31">
        <v>30</v>
      </c>
    </row>
    <row r="32" spans="1:9" x14ac:dyDescent="0.25">
      <c r="A32" s="11" t="s">
        <v>22</v>
      </c>
      <c r="B32" s="12"/>
      <c r="C32" s="12">
        <f t="shared" si="0"/>
        <v>25</v>
      </c>
      <c r="D32" s="12">
        <f t="shared" si="1"/>
        <v>30</v>
      </c>
      <c r="F32" s="11" t="s">
        <v>41</v>
      </c>
      <c r="G32">
        <v>25</v>
      </c>
      <c r="I32">
        <v>30</v>
      </c>
    </row>
    <row r="33" spans="1:9" x14ac:dyDescent="0.25">
      <c r="A33" s="11" t="s">
        <v>47</v>
      </c>
      <c r="B33" s="12"/>
      <c r="C33" s="12">
        <f t="shared" si="0"/>
        <v>25</v>
      </c>
      <c r="D33" s="12">
        <f t="shared" si="1"/>
        <v>30</v>
      </c>
      <c r="F33" s="11" t="s">
        <v>42</v>
      </c>
      <c r="G33">
        <v>25</v>
      </c>
      <c r="I33">
        <v>30</v>
      </c>
    </row>
    <row r="34" spans="1:9" x14ac:dyDescent="0.25">
      <c r="A34" s="11" t="s">
        <v>48</v>
      </c>
      <c r="B34" s="12"/>
      <c r="C34" s="12">
        <f t="shared" si="0"/>
        <v>25</v>
      </c>
      <c r="D34" s="12">
        <f t="shared" si="1"/>
        <v>30</v>
      </c>
    </row>
    <row r="35" spans="1:9" x14ac:dyDescent="0.25">
      <c r="A35" s="11" t="s">
        <v>49</v>
      </c>
      <c r="B35" s="12"/>
      <c r="C35" s="12">
        <f t="shared" si="0"/>
        <v>25</v>
      </c>
      <c r="D35" s="12">
        <f t="shared" si="1"/>
        <v>30</v>
      </c>
    </row>
    <row r="36" spans="1:9" x14ac:dyDescent="0.25">
      <c r="A36" s="11" t="s">
        <v>52</v>
      </c>
      <c r="B36" s="12"/>
      <c r="C36" s="12">
        <f t="shared" si="0"/>
        <v>25</v>
      </c>
      <c r="D36" s="12">
        <f t="shared" si="1"/>
        <v>30</v>
      </c>
    </row>
    <row r="37" spans="1:9" x14ac:dyDescent="0.25">
      <c r="A37" s="11" t="s">
        <v>53</v>
      </c>
      <c r="B37" s="12"/>
      <c r="C37" s="12">
        <f t="shared" si="0"/>
        <v>25</v>
      </c>
      <c r="D37" s="12">
        <f t="shared" si="1"/>
        <v>30</v>
      </c>
    </row>
    <row r="38" spans="1:9" x14ac:dyDescent="0.25">
      <c r="A38" s="11" t="s">
        <v>88</v>
      </c>
      <c r="B38" s="12"/>
      <c r="C38" s="12">
        <f t="shared" si="0"/>
        <v>25</v>
      </c>
      <c r="D38" s="12">
        <f t="shared" si="1"/>
        <v>0</v>
      </c>
    </row>
    <row r="39" spans="1:9" x14ac:dyDescent="0.25">
      <c r="A39" s="11" t="s">
        <v>41</v>
      </c>
      <c r="B39" s="12"/>
      <c r="C39" s="12">
        <f t="shared" si="0"/>
        <v>25</v>
      </c>
      <c r="D39" s="12">
        <f t="shared" si="1"/>
        <v>0</v>
      </c>
    </row>
    <row r="40" spans="1:9" x14ac:dyDescent="0.25">
      <c r="A40" s="11" t="s">
        <v>46</v>
      </c>
      <c r="B40" s="12"/>
      <c r="C40" s="12"/>
      <c r="D40" s="12">
        <f t="shared" si="1"/>
        <v>30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49"/>
  <sheetViews>
    <sheetView topLeftCell="A19" workbookViewId="0">
      <selection activeCell="D49" sqref="A2:D49"/>
    </sheetView>
  </sheetViews>
  <sheetFormatPr defaultRowHeight="15" x14ac:dyDescent="0.25"/>
  <cols>
    <col min="1" max="1" width="89.5703125" bestFit="1" customWidth="1"/>
    <col min="2" max="4" width="3" bestFit="1" customWidth="1"/>
    <col min="6" max="6" width="87.7109375" bestFit="1" customWidth="1"/>
    <col min="7" max="7" width="3" bestFit="1" customWidth="1"/>
    <col min="8" max="8" width="89.5703125" bestFit="1" customWidth="1"/>
    <col min="9" max="9" width="3" bestFit="1" customWidth="1"/>
  </cols>
  <sheetData>
    <row r="1" spans="1:9" x14ac:dyDescent="0.25">
      <c r="A1" s="13" t="s">
        <v>13</v>
      </c>
      <c r="B1">
        <v>20</v>
      </c>
      <c r="C1">
        <v>25</v>
      </c>
      <c r="D1">
        <v>23</v>
      </c>
      <c r="F1" s="13" t="s">
        <v>13</v>
      </c>
      <c r="G1">
        <v>25</v>
      </c>
      <c r="H1" s="13" t="s">
        <v>13</v>
      </c>
      <c r="I1">
        <v>30</v>
      </c>
    </row>
    <row r="2" spans="1:9" x14ac:dyDescent="0.25">
      <c r="A2" s="14" t="s">
        <v>14</v>
      </c>
      <c r="B2" s="15">
        <v>20</v>
      </c>
      <c r="C2" s="15">
        <f>IFERROR(VLOOKUP(A2,F:G,2,FALSE),0)</f>
        <v>25</v>
      </c>
      <c r="D2" s="15">
        <f>IFERROR(VLOOKUP($A2,H:I,2,FALSE),0)</f>
        <v>30</v>
      </c>
      <c r="F2" s="14" t="s">
        <v>14</v>
      </c>
      <c r="G2">
        <v>25</v>
      </c>
      <c r="H2" s="14" t="s">
        <v>14</v>
      </c>
      <c r="I2">
        <v>30</v>
      </c>
    </row>
    <row r="3" spans="1:9" x14ac:dyDescent="0.25">
      <c r="A3" s="14" t="s">
        <v>16</v>
      </c>
      <c r="B3" s="15">
        <v>20</v>
      </c>
      <c r="C3" s="15">
        <f t="shared" ref="C3:C32" si="0">IFERROR(VLOOKUP(A3,F:G,2,FALSE),0)</f>
        <v>25</v>
      </c>
      <c r="D3" s="15">
        <f t="shared" ref="D3:D32" si="1">IFERROR(VLOOKUP($A3,H:I,2,FALSE),0)</f>
        <v>30</v>
      </c>
      <c r="F3" s="14" t="s">
        <v>16</v>
      </c>
      <c r="G3">
        <v>25</v>
      </c>
      <c r="H3" s="14" t="s">
        <v>16</v>
      </c>
      <c r="I3">
        <v>30</v>
      </c>
    </row>
    <row r="4" spans="1:9" x14ac:dyDescent="0.25">
      <c r="A4" s="14" t="s">
        <v>19</v>
      </c>
      <c r="B4" s="15">
        <v>20</v>
      </c>
      <c r="C4" s="15">
        <f t="shared" si="0"/>
        <v>25</v>
      </c>
      <c r="D4" s="15">
        <f t="shared" si="1"/>
        <v>30</v>
      </c>
      <c r="F4" s="14" t="s">
        <v>17</v>
      </c>
      <c r="G4">
        <v>25</v>
      </c>
      <c r="H4" s="14" t="s">
        <v>17</v>
      </c>
      <c r="I4">
        <v>30</v>
      </c>
    </row>
    <row r="5" spans="1:9" x14ac:dyDescent="0.25">
      <c r="A5" s="14" t="s">
        <v>20</v>
      </c>
      <c r="B5" s="15">
        <v>20</v>
      </c>
      <c r="C5" s="15">
        <f t="shared" si="0"/>
        <v>25</v>
      </c>
      <c r="D5" s="15">
        <f t="shared" si="1"/>
        <v>30</v>
      </c>
      <c r="F5" s="14" t="s">
        <v>19</v>
      </c>
      <c r="G5">
        <v>25</v>
      </c>
      <c r="H5" s="14" t="s">
        <v>19</v>
      </c>
      <c r="I5">
        <v>30</v>
      </c>
    </row>
    <row r="6" spans="1:9" x14ac:dyDescent="0.25">
      <c r="A6" s="14" t="s">
        <v>21</v>
      </c>
      <c r="B6" s="15">
        <v>20</v>
      </c>
      <c r="C6" s="15">
        <f t="shared" si="0"/>
        <v>25</v>
      </c>
      <c r="D6" s="15">
        <f t="shared" si="1"/>
        <v>30</v>
      </c>
      <c r="F6" s="14" t="s">
        <v>20</v>
      </c>
      <c r="G6">
        <v>25</v>
      </c>
      <c r="H6" s="14" t="s">
        <v>20</v>
      </c>
      <c r="I6">
        <v>30</v>
      </c>
    </row>
    <row r="7" spans="1:9" x14ac:dyDescent="0.25">
      <c r="A7" s="14" t="s">
        <v>89</v>
      </c>
      <c r="B7" s="15">
        <v>20</v>
      </c>
      <c r="C7" s="15">
        <f t="shared" si="0"/>
        <v>25</v>
      </c>
      <c r="D7" s="15">
        <f t="shared" si="1"/>
        <v>30</v>
      </c>
      <c r="F7" s="14" t="s">
        <v>21</v>
      </c>
      <c r="G7">
        <v>25</v>
      </c>
      <c r="H7" s="14" t="s">
        <v>21</v>
      </c>
      <c r="I7">
        <v>30</v>
      </c>
    </row>
    <row r="8" spans="1:9" x14ac:dyDescent="0.25">
      <c r="A8" s="14" t="s">
        <v>22</v>
      </c>
      <c r="B8" s="15">
        <v>20</v>
      </c>
      <c r="C8" s="15">
        <f t="shared" si="0"/>
        <v>25</v>
      </c>
      <c r="D8" s="15">
        <f t="shared" si="1"/>
        <v>30</v>
      </c>
      <c r="F8" s="14" t="s">
        <v>43</v>
      </c>
      <c r="G8">
        <v>25</v>
      </c>
      <c r="H8" s="14" t="s">
        <v>43</v>
      </c>
      <c r="I8">
        <v>30</v>
      </c>
    </row>
    <row r="9" spans="1:9" x14ac:dyDescent="0.25">
      <c r="A9" s="14" t="s">
        <v>90</v>
      </c>
      <c r="B9" s="15">
        <v>20</v>
      </c>
      <c r="C9" s="15">
        <f t="shared" si="0"/>
        <v>25</v>
      </c>
      <c r="D9" s="15">
        <f t="shared" si="1"/>
        <v>30</v>
      </c>
      <c r="F9" s="14" t="s">
        <v>89</v>
      </c>
      <c r="G9">
        <v>25</v>
      </c>
      <c r="H9" s="14" t="s">
        <v>89</v>
      </c>
      <c r="I9">
        <v>30</v>
      </c>
    </row>
    <row r="10" spans="1:9" x14ac:dyDescent="0.25">
      <c r="A10" s="14" t="s">
        <v>67</v>
      </c>
      <c r="B10" s="15">
        <v>20</v>
      </c>
      <c r="C10" s="15">
        <f t="shared" si="0"/>
        <v>25</v>
      </c>
      <c r="D10" s="15">
        <f t="shared" si="1"/>
        <v>0</v>
      </c>
      <c r="F10" s="14" t="s">
        <v>22</v>
      </c>
      <c r="G10">
        <v>25</v>
      </c>
      <c r="H10" s="14" t="s">
        <v>22</v>
      </c>
      <c r="I10">
        <v>30</v>
      </c>
    </row>
    <row r="11" spans="1:9" x14ac:dyDescent="0.25">
      <c r="A11" s="14" t="s">
        <v>25</v>
      </c>
      <c r="B11" s="15">
        <v>20</v>
      </c>
      <c r="C11" s="15">
        <f t="shared" si="0"/>
        <v>25</v>
      </c>
      <c r="D11" s="15">
        <f t="shared" si="1"/>
        <v>30</v>
      </c>
      <c r="F11" s="14" t="s">
        <v>90</v>
      </c>
      <c r="G11">
        <v>25</v>
      </c>
      <c r="H11" s="14" t="s">
        <v>90</v>
      </c>
      <c r="I11">
        <v>30</v>
      </c>
    </row>
    <row r="12" spans="1:9" x14ac:dyDescent="0.25">
      <c r="A12" s="14" t="s">
        <v>26</v>
      </c>
      <c r="B12" s="15">
        <v>20</v>
      </c>
      <c r="C12" s="15">
        <f t="shared" si="0"/>
        <v>25</v>
      </c>
      <c r="D12" s="15">
        <f t="shared" si="1"/>
        <v>0</v>
      </c>
      <c r="F12" s="14" t="s">
        <v>67</v>
      </c>
      <c r="G12">
        <v>25</v>
      </c>
      <c r="H12" s="14" t="s">
        <v>24</v>
      </c>
      <c r="I12">
        <v>30</v>
      </c>
    </row>
    <row r="13" spans="1:9" x14ac:dyDescent="0.25">
      <c r="A13" s="14" t="s">
        <v>27</v>
      </c>
      <c r="B13" s="15">
        <v>20</v>
      </c>
      <c r="C13" s="15">
        <f t="shared" si="0"/>
        <v>25</v>
      </c>
      <c r="D13" s="15">
        <f t="shared" si="1"/>
        <v>30</v>
      </c>
      <c r="F13" s="14" t="s">
        <v>25</v>
      </c>
      <c r="G13">
        <v>25</v>
      </c>
      <c r="H13" s="14" t="s">
        <v>25</v>
      </c>
      <c r="I13">
        <v>30</v>
      </c>
    </row>
    <row r="14" spans="1:9" x14ac:dyDescent="0.25">
      <c r="A14" s="14" t="s">
        <v>28</v>
      </c>
      <c r="B14" s="15">
        <v>20</v>
      </c>
      <c r="C14" s="15">
        <f t="shared" si="0"/>
        <v>25</v>
      </c>
      <c r="D14" s="15">
        <f t="shared" si="1"/>
        <v>30</v>
      </c>
      <c r="F14" s="14" t="s">
        <v>26</v>
      </c>
      <c r="G14">
        <v>25</v>
      </c>
      <c r="H14" s="14" t="s">
        <v>46</v>
      </c>
      <c r="I14">
        <v>30</v>
      </c>
    </row>
    <row r="15" spans="1:9" x14ac:dyDescent="0.25">
      <c r="A15" s="14" t="s">
        <v>29</v>
      </c>
      <c r="B15" s="15">
        <v>20</v>
      </c>
      <c r="C15" s="15">
        <f t="shared" si="0"/>
        <v>25</v>
      </c>
      <c r="D15" s="15">
        <f t="shared" si="1"/>
        <v>30</v>
      </c>
      <c r="F15" s="14" t="s">
        <v>27</v>
      </c>
      <c r="G15">
        <v>25</v>
      </c>
      <c r="H15" s="14" t="s">
        <v>27</v>
      </c>
      <c r="I15">
        <v>30</v>
      </c>
    </row>
    <row r="16" spans="1:9" x14ac:dyDescent="0.25">
      <c r="A16" s="14" t="s">
        <v>30</v>
      </c>
      <c r="B16" s="15">
        <v>20</v>
      </c>
      <c r="C16" s="15">
        <f t="shared" si="0"/>
        <v>25</v>
      </c>
      <c r="D16" s="15">
        <f t="shared" si="1"/>
        <v>30</v>
      </c>
      <c r="F16" s="14" t="s">
        <v>28</v>
      </c>
      <c r="G16">
        <v>25</v>
      </c>
      <c r="H16" s="14" t="s">
        <v>28</v>
      </c>
      <c r="I16">
        <v>30</v>
      </c>
    </row>
    <row r="17" spans="1:9" x14ac:dyDescent="0.25">
      <c r="A17" s="14" t="s">
        <v>31</v>
      </c>
      <c r="B17" s="15">
        <v>20</v>
      </c>
      <c r="C17" s="15">
        <f t="shared" si="0"/>
        <v>25</v>
      </c>
      <c r="D17" s="15">
        <f t="shared" si="1"/>
        <v>30</v>
      </c>
      <c r="F17" s="14" t="s">
        <v>29</v>
      </c>
      <c r="G17">
        <v>25</v>
      </c>
      <c r="H17" s="14" t="s">
        <v>29</v>
      </c>
      <c r="I17">
        <v>30</v>
      </c>
    </row>
    <row r="18" spans="1:9" x14ac:dyDescent="0.25">
      <c r="A18" s="14" t="s">
        <v>32</v>
      </c>
      <c r="B18" s="15">
        <v>20</v>
      </c>
      <c r="C18" s="15">
        <f t="shared" si="0"/>
        <v>25</v>
      </c>
      <c r="D18" s="15">
        <f t="shared" si="1"/>
        <v>30</v>
      </c>
      <c r="F18" s="14" t="s">
        <v>30</v>
      </c>
      <c r="G18">
        <v>25</v>
      </c>
      <c r="H18" s="14" t="s">
        <v>30</v>
      </c>
      <c r="I18">
        <v>30</v>
      </c>
    </row>
    <row r="19" spans="1:9" x14ac:dyDescent="0.25">
      <c r="A19" s="14" t="s">
        <v>91</v>
      </c>
      <c r="B19" s="15">
        <v>20</v>
      </c>
      <c r="C19" s="15">
        <f t="shared" si="0"/>
        <v>0</v>
      </c>
      <c r="D19" s="15">
        <f t="shared" si="1"/>
        <v>0</v>
      </c>
      <c r="F19" s="14" t="s">
        <v>31</v>
      </c>
      <c r="G19">
        <v>25</v>
      </c>
      <c r="H19" s="14" t="s">
        <v>31</v>
      </c>
      <c r="I19">
        <v>30</v>
      </c>
    </row>
    <row r="20" spans="1:9" x14ac:dyDescent="0.25">
      <c r="A20" s="14" t="s">
        <v>34</v>
      </c>
      <c r="B20" s="15">
        <v>20</v>
      </c>
      <c r="C20" s="15">
        <f t="shared" si="0"/>
        <v>25</v>
      </c>
      <c r="D20" s="15">
        <f t="shared" si="1"/>
        <v>30</v>
      </c>
      <c r="F20" s="14" t="s">
        <v>32</v>
      </c>
      <c r="G20">
        <v>25</v>
      </c>
      <c r="H20" s="14" t="s">
        <v>32</v>
      </c>
      <c r="I20">
        <v>30</v>
      </c>
    </row>
    <row r="21" spans="1:9" x14ac:dyDescent="0.25">
      <c r="A21" s="14" t="s">
        <v>35</v>
      </c>
      <c r="B21" s="15">
        <v>20</v>
      </c>
      <c r="C21" s="15">
        <f t="shared" si="0"/>
        <v>25</v>
      </c>
      <c r="D21" s="15">
        <f t="shared" si="1"/>
        <v>30</v>
      </c>
      <c r="F21" s="14" t="s">
        <v>33</v>
      </c>
      <c r="G21">
        <v>25</v>
      </c>
      <c r="H21" s="14" t="s">
        <v>33</v>
      </c>
      <c r="I21">
        <v>30</v>
      </c>
    </row>
    <row r="22" spans="1:9" x14ac:dyDescent="0.25">
      <c r="A22" s="14" t="s">
        <v>36</v>
      </c>
      <c r="B22" s="15">
        <v>20</v>
      </c>
      <c r="C22" s="15">
        <f t="shared" si="0"/>
        <v>25</v>
      </c>
      <c r="D22" s="15">
        <f t="shared" si="1"/>
        <v>30</v>
      </c>
      <c r="F22" s="14" t="s">
        <v>34</v>
      </c>
      <c r="G22">
        <v>25</v>
      </c>
      <c r="H22" s="14" t="s">
        <v>34</v>
      </c>
      <c r="I22">
        <v>30</v>
      </c>
    </row>
    <row r="23" spans="1:9" x14ac:dyDescent="0.25">
      <c r="A23" s="14" t="s">
        <v>37</v>
      </c>
      <c r="B23" s="15">
        <v>20</v>
      </c>
      <c r="C23" s="15">
        <f t="shared" si="0"/>
        <v>25</v>
      </c>
      <c r="D23" s="15">
        <f t="shared" si="1"/>
        <v>30</v>
      </c>
      <c r="F23" s="14" t="s">
        <v>35</v>
      </c>
      <c r="G23">
        <v>25</v>
      </c>
      <c r="H23" s="14" t="s">
        <v>35</v>
      </c>
      <c r="I23">
        <v>30</v>
      </c>
    </row>
    <row r="24" spans="1:9" x14ac:dyDescent="0.25">
      <c r="A24" s="14" t="s">
        <v>92</v>
      </c>
      <c r="B24" s="15">
        <v>20</v>
      </c>
      <c r="C24" s="15">
        <f t="shared" si="0"/>
        <v>25</v>
      </c>
      <c r="D24" s="15">
        <f t="shared" si="1"/>
        <v>30</v>
      </c>
      <c r="F24" s="14" t="s">
        <v>36</v>
      </c>
      <c r="G24">
        <v>25</v>
      </c>
      <c r="H24" s="14" t="s">
        <v>36</v>
      </c>
      <c r="I24">
        <v>30</v>
      </c>
    </row>
    <row r="25" spans="1:9" x14ac:dyDescent="0.25">
      <c r="A25" s="14" t="s">
        <v>93</v>
      </c>
      <c r="B25" s="15">
        <v>20</v>
      </c>
      <c r="C25" s="15">
        <f t="shared" si="0"/>
        <v>25</v>
      </c>
      <c r="D25" s="15">
        <f t="shared" si="1"/>
        <v>30</v>
      </c>
      <c r="F25" s="14" t="s">
        <v>37</v>
      </c>
      <c r="G25">
        <v>25</v>
      </c>
      <c r="H25" s="14" t="s">
        <v>37</v>
      </c>
      <c r="I25">
        <v>30</v>
      </c>
    </row>
    <row r="26" spans="1:9" x14ac:dyDescent="0.25">
      <c r="A26" s="14" t="s">
        <v>94</v>
      </c>
      <c r="B26" s="15">
        <v>20</v>
      </c>
      <c r="C26" s="15">
        <f t="shared" si="0"/>
        <v>25</v>
      </c>
      <c r="D26" s="15">
        <f t="shared" si="1"/>
        <v>30</v>
      </c>
      <c r="F26" s="14" t="s">
        <v>92</v>
      </c>
      <c r="G26">
        <v>25</v>
      </c>
      <c r="H26" s="14" t="s">
        <v>92</v>
      </c>
      <c r="I26">
        <v>30</v>
      </c>
    </row>
    <row r="27" spans="1:9" x14ac:dyDescent="0.25">
      <c r="A27" s="14" t="s">
        <v>95</v>
      </c>
      <c r="B27" s="15">
        <v>20</v>
      </c>
      <c r="C27" s="15">
        <f t="shared" si="0"/>
        <v>0</v>
      </c>
      <c r="D27" s="15">
        <f t="shared" si="1"/>
        <v>30</v>
      </c>
      <c r="F27" s="14" t="s">
        <v>93</v>
      </c>
      <c r="G27">
        <v>25</v>
      </c>
      <c r="H27" s="14" t="s">
        <v>93</v>
      </c>
      <c r="I27">
        <v>30</v>
      </c>
    </row>
    <row r="28" spans="1:9" x14ac:dyDescent="0.25">
      <c r="A28" s="14" t="s">
        <v>38</v>
      </c>
      <c r="B28" s="15">
        <v>20</v>
      </c>
      <c r="C28" s="15">
        <f t="shared" si="0"/>
        <v>0</v>
      </c>
      <c r="D28" s="15">
        <f t="shared" si="1"/>
        <v>30</v>
      </c>
      <c r="F28" s="14" t="s">
        <v>94</v>
      </c>
      <c r="G28">
        <v>25</v>
      </c>
      <c r="H28" s="14" t="s">
        <v>94</v>
      </c>
      <c r="I28">
        <v>30</v>
      </c>
    </row>
    <row r="29" spans="1:9" x14ac:dyDescent="0.25">
      <c r="A29" s="14" t="s">
        <v>39</v>
      </c>
      <c r="B29" s="15">
        <v>20</v>
      </c>
      <c r="C29" s="15">
        <f t="shared" si="0"/>
        <v>0</v>
      </c>
      <c r="D29" s="15">
        <f t="shared" si="1"/>
        <v>0</v>
      </c>
      <c r="F29" s="14" t="s">
        <v>96</v>
      </c>
      <c r="G29">
        <v>25</v>
      </c>
      <c r="H29" s="14" t="s">
        <v>95</v>
      </c>
      <c r="I29">
        <v>30</v>
      </c>
    </row>
    <row r="30" spans="1:9" x14ac:dyDescent="0.25">
      <c r="A30" s="14" t="s">
        <v>40</v>
      </c>
      <c r="B30" s="15">
        <v>20</v>
      </c>
      <c r="C30" s="15">
        <f t="shared" si="0"/>
        <v>0</v>
      </c>
      <c r="D30" s="15">
        <f t="shared" si="1"/>
        <v>0</v>
      </c>
      <c r="F30" s="14" t="s">
        <v>47</v>
      </c>
      <c r="G30">
        <v>25</v>
      </c>
      <c r="H30" s="14" t="s">
        <v>50</v>
      </c>
      <c r="I30">
        <v>30</v>
      </c>
    </row>
    <row r="31" spans="1:9" x14ac:dyDescent="0.25">
      <c r="A31" s="14" t="s">
        <v>74</v>
      </c>
      <c r="B31" s="15">
        <v>20</v>
      </c>
      <c r="C31" s="15">
        <f t="shared" si="0"/>
        <v>0</v>
      </c>
      <c r="D31" s="15">
        <f t="shared" si="1"/>
        <v>0</v>
      </c>
      <c r="F31" s="14" t="s">
        <v>48</v>
      </c>
      <c r="G31">
        <v>25</v>
      </c>
      <c r="H31" s="14" t="s">
        <v>62</v>
      </c>
      <c r="I31">
        <v>30</v>
      </c>
    </row>
    <row r="32" spans="1:9" x14ac:dyDescent="0.25">
      <c r="A32" s="14" t="s">
        <v>42</v>
      </c>
      <c r="B32" s="15">
        <v>20</v>
      </c>
      <c r="C32" s="15">
        <f t="shared" si="0"/>
        <v>25</v>
      </c>
      <c r="D32" s="15">
        <f t="shared" si="1"/>
        <v>30</v>
      </c>
      <c r="F32" s="14" t="s">
        <v>49</v>
      </c>
      <c r="G32">
        <v>25</v>
      </c>
      <c r="H32" s="14" t="s">
        <v>63</v>
      </c>
      <c r="I32">
        <v>30</v>
      </c>
    </row>
    <row r="33" spans="1:9" x14ac:dyDescent="0.25">
      <c r="A33" s="14" t="s">
        <v>17</v>
      </c>
      <c r="B33" s="15"/>
      <c r="C33" s="15">
        <f t="shared" ref="C33:C45" si="2">IFERROR(VLOOKUP(A33,F:G,2,FALSE),0)</f>
        <v>25</v>
      </c>
      <c r="D33" s="15">
        <f t="shared" ref="D33:D45" si="3">IFERROR(VLOOKUP($A33,H:I,2,FALSE),0)</f>
        <v>30</v>
      </c>
      <c r="F33" s="14" t="s">
        <v>50</v>
      </c>
      <c r="G33">
        <v>25</v>
      </c>
      <c r="H33" s="14" t="s">
        <v>38</v>
      </c>
      <c r="I33">
        <v>30</v>
      </c>
    </row>
    <row r="34" spans="1:9" x14ac:dyDescent="0.25">
      <c r="A34" s="14" t="s">
        <v>43</v>
      </c>
      <c r="B34" s="15"/>
      <c r="C34" s="15">
        <f t="shared" si="2"/>
        <v>25</v>
      </c>
      <c r="D34" s="15">
        <f t="shared" si="3"/>
        <v>30</v>
      </c>
      <c r="F34" s="14" t="s">
        <v>52</v>
      </c>
      <c r="G34">
        <v>25</v>
      </c>
      <c r="H34" s="14" t="s">
        <v>52</v>
      </c>
      <c r="I34">
        <v>30</v>
      </c>
    </row>
    <row r="35" spans="1:9" x14ac:dyDescent="0.25">
      <c r="A35" s="14" t="s">
        <v>33</v>
      </c>
      <c r="B35" s="15"/>
      <c r="C35" s="15">
        <f t="shared" si="2"/>
        <v>25</v>
      </c>
      <c r="D35" s="15">
        <f t="shared" si="3"/>
        <v>30</v>
      </c>
      <c r="F35" s="14" t="s">
        <v>53</v>
      </c>
      <c r="G35">
        <v>25</v>
      </c>
      <c r="H35" s="14" t="s">
        <v>53</v>
      </c>
      <c r="I35">
        <v>30</v>
      </c>
    </row>
    <row r="36" spans="1:9" x14ac:dyDescent="0.25">
      <c r="A36" s="14" t="s">
        <v>96</v>
      </c>
      <c r="B36" s="15"/>
      <c r="C36" s="15">
        <f t="shared" si="2"/>
        <v>25</v>
      </c>
      <c r="D36" s="15">
        <f t="shared" si="3"/>
        <v>0</v>
      </c>
      <c r="F36" s="14" t="s">
        <v>97</v>
      </c>
      <c r="G36">
        <v>25</v>
      </c>
      <c r="H36" s="14" t="s">
        <v>54</v>
      </c>
      <c r="I36">
        <v>30</v>
      </c>
    </row>
    <row r="37" spans="1:9" x14ac:dyDescent="0.25">
      <c r="A37" s="14" t="s">
        <v>47</v>
      </c>
      <c r="B37" s="15"/>
      <c r="C37" s="15">
        <f t="shared" si="2"/>
        <v>25</v>
      </c>
      <c r="D37" s="15">
        <f t="shared" si="3"/>
        <v>0</v>
      </c>
      <c r="F37" s="14" t="s">
        <v>98</v>
      </c>
      <c r="G37">
        <v>25</v>
      </c>
    </row>
    <row r="38" spans="1:9" x14ac:dyDescent="0.25">
      <c r="A38" s="14" t="s">
        <v>48</v>
      </c>
      <c r="B38" s="15"/>
      <c r="C38" s="15">
        <f t="shared" si="2"/>
        <v>25</v>
      </c>
      <c r="D38" s="15">
        <f t="shared" si="3"/>
        <v>0</v>
      </c>
      <c r="F38" s="14" t="s">
        <v>41</v>
      </c>
      <c r="G38">
        <v>25</v>
      </c>
    </row>
    <row r="39" spans="1:9" x14ac:dyDescent="0.25">
      <c r="A39" s="14" t="s">
        <v>49</v>
      </c>
      <c r="B39" s="15"/>
      <c r="C39" s="15">
        <f t="shared" si="2"/>
        <v>25</v>
      </c>
      <c r="D39" s="15">
        <f t="shared" si="3"/>
        <v>0</v>
      </c>
      <c r="F39" s="14" t="s">
        <v>42</v>
      </c>
      <c r="G39">
        <v>25</v>
      </c>
    </row>
    <row r="40" spans="1:9" x14ac:dyDescent="0.25">
      <c r="A40" s="14" t="s">
        <v>50</v>
      </c>
      <c r="B40" s="15"/>
      <c r="C40" s="15">
        <f t="shared" si="2"/>
        <v>25</v>
      </c>
      <c r="D40" s="15">
        <f t="shared" si="3"/>
        <v>30</v>
      </c>
    </row>
    <row r="41" spans="1:9" x14ac:dyDescent="0.25">
      <c r="A41" s="14" t="s">
        <v>52</v>
      </c>
      <c r="B41" s="15"/>
      <c r="C41" s="15">
        <f t="shared" si="2"/>
        <v>25</v>
      </c>
      <c r="D41" s="15">
        <f t="shared" si="3"/>
        <v>30</v>
      </c>
    </row>
    <row r="42" spans="1:9" x14ac:dyDescent="0.25">
      <c r="A42" s="14" t="s">
        <v>53</v>
      </c>
      <c r="B42" s="15"/>
      <c r="C42" s="15">
        <f t="shared" si="2"/>
        <v>25</v>
      </c>
      <c r="D42" s="15">
        <f t="shared" si="3"/>
        <v>30</v>
      </c>
    </row>
    <row r="43" spans="1:9" x14ac:dyDescent="0.25">
      <c r="A43" s="14" t="s">
        <v>97</v>
      </c>
      <c r="B43" s="15"/>
      <c r="C43" s="15">
        <f t="shared" si="2"/>
        <v>25</v>
      </c>
      <c r="D43" s="15">
        <f t="shared" si="3"/>
        <v>0</v>
      </c>
    </row>
    <row r="44" spans="1:9" x14ac:dyDescent="0.25">
      <c r="A44" s="14" t="s">
        <v>98</v>
      </c>
      <c r="B44" s="15"/>
      <c r="C44" s="15">
        <f t="shared" si="2"/>
        <v>25</v>
      </c>
      <c r="D44" s="15">
        <f t="shared" si="3"/>
        <v>0</v>
      </c>
    </row>
    <row r="45" spans="1:9" x14ac:dyDescent="0.25">
      <c r="A45" s="14" t="s">
        <v>41</v>
      </c>
      <c r="B45" s="15"/>
      <c r="C45" s="15">
        <f t="shared" si="2"/>
        <v>25</v>
      </c>
      <c r="D45" s="15">
        <f t="shared" si="3"/>
        <v>0</v>
      </c>
    </row>
    <row r="46" spans="1:9" x14ac:dyDescent="0.25">
      <c r="A46" s="14" t="s">
        <v>24</v>
      </c>
      <c r="B46" s="15"/>
      <c r="C46" s="15">
        <f t="shared" ref="C46:C49" si="4">IFERROR(VLOOKUP(A46,F:G,2,FALSE),0)</f>
        <v>0</v>
      </c>
      <c r="D46" s="15">
        <f t="shared" ref="D46:D49" si="5">IFERROR(VLOOKUP($A46,H:I,2,FALSE),0)</f>
        <v>30</v>
      </c>
    </row>
    <row r="47" spans="1:9" x14ac:dyDescent="0.25">
      <c r="A47" s="14" t="s">
        <v>46</v>
      </c>
      <c r="B47" s="15"/>
      <c r="C47" s="15">
        <f t="shared" si="4"/>
        <v>0</v>
      </c>
      <c r="D47" s="15">
        <f t="shared" si="5"/>
        <v>30</v>
      </c>
    </row>
    <row r="48" spans="1:9" x14ac:dyDescent="0.25">
      <c r="A48" s="14" t="s">
        <v>62</v>
      </c>
      <c r="B48" s="15"/>
      <c r="C48" s="15">
        <f t="shared" si="4"/>
        <v>0</v>
      </c>
      <c r="D48" s="15">
        <f t="shared" si="5"/>
        <v>30</v>
      </c>
    </row>
    <row r="49" spans="1:4" x14ac:dyDescent="0.25">
      <c r="A49" s="14" t="s">
        <v>63</v>
      </c>
      <c r="B49" s="15"/>
      <c r="C49" s="15">
        <f t="shared" si="4"/>
        <v>0</v>
      </c>
      <c r="D49" s="15">
        <f t="shared" si="5"/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All of em</vt:lpstr>
      <vt:lpstr>All of em not gonna blow up 0,1</vt:lpstr>
      <vt:lpstr>All of em not gonna blow up</vt:lpstr>
      <vt:lpstr>ANR</vt:lpstr>
      <vt:lpstr>ART</vt:lpstr>
      <vt:lpstr>FDNT</vt:lpstr>
      <vt:lpstr>NTT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2022-07-18T13:23:19Z</dcterms:created>
  <dc:creator>Evan Findlater</dc:creator>
  <cp:lastModifiedBy>Colin Richardson</cp:lastModifiedBy>
  <cp:lastPrinted>2022-08-08T18:01:56Z</cp:lastPrinted>
  <dcterms:modified xsi:type="dcterms:W3CDTF">2022-08-09T11:59:22Z</dcterms:modified>
</cp:coreProperties>
</file>