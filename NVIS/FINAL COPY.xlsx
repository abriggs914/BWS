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28275" windowHeight="1228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5" i="1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4"/>
  <c r="C2"/>
  <c r="C3"/>
</calcChain>
</file>

<file path=xl/sharedStrings.xml><?xml version="1.0" encoding="utf-8"?>
<sst xmlns="http://schemas.openxmlformats.org/spreadsheetml/2006/main" count="1087" uniqueCount="580">
  <si>
    <t>Serial Number</t>
  </si>
  <si>
    <t>Prod Date</t>
  </si>
  <si>
    <t>WO#</t>
  </si>
  <si>
    <t>Special Instructions</t>
  </si>
  <si>
    <t>2XBB6EW38PA000014</t>
  </si>
  <si>
    <t>OLD VIN # 2B9B6EW37PA001044  NEW VIN # 2XBB6EW39RA001014  2022-09-21 12PM - ABRIGGS - VIN CHANGE '2XBB6EW39RA001014' to '2XBB6EW38PA000014' to match 2023 prod year.</t>
  </si>
  <si>
    <t>2XBB6ET35PA000959</t>
  </si>
  <si>
    <t>OLD VIN # 2B9B6ET3XPA001026  NEW VIN # 2XBB6ET3XPA001959  2022-09-21 12PM - ABRIGGS - VIN CHANGE '2XBB6ET3XPA001959' to '2XBB6ET35PA000959' to match 2023 prod year.</t>
  </si>
  <si>
    <t>2XBB6EY33PA000015</t>
  </si>
  <si>
    <t>OLD VIN # 2B9B6EY35PA001153  NEW VIN # 2XBB6EY34RA001015  2022-09-21 12PM - ABRIGGS - VIN CHANGE '2XBB6EY34RA001015' to '2XBB6EY33PA000015' to match 2023 prod year.</t>
  </si>
  <si>
    <t>2XBB6EY37PA000390</t>
  </si>
  <si>
    <t>NULL</t>
  </si>
  <si>
    <t xml:space="preserve">  2022-09-21 12PM - ABRIGGS - VIN CHANGE '2B9B6EY38PA001390' to '2XBB6EY37PA000390' to match 2023 prod year.</t>
  </si>
  <si>
    <t>2XBB2TR32PA000697</t>
  </si>
  <si>
    <t xml:space="preserve">  2022-09-21 12PM - ABRIGGS - VIN CHANGE '2B9B2TR33PA001697' to '2XBB2TR32PA000697' to match 2023 prod year.</t>
  </si>
  <si>
    <t>2XBB6EY32PA000426</t>
  </si>
  <si>
    <t xml:space="preserve">  2022-09-21 12PM - ABRIGGS - VIN CHANGE '2B9B6EY33PA001426' to '2XBB6EY32PA000426' to match 2023 prod year.</t>
  </si>
  <si>
    <t>2XBB6EY35PA000422</t>
  </si>
  <si>
    <t xml:space="preserve">  2022-09-21 12PM - ABRIGGS - VIN CHANGE '2B9B6EY36PA001422' to '2XBB6EY35PA000422' to match 2023 prod year.</t>
  </si>
  <si>
    <t>2XBB6EY38PA000446</t>
  </si>
  <si>
    <t xml:space="preserve">  2022-09-21 12PM - ABRIGGS - VIN CHANGE '2B9B6EY39PA001446' to '2XBB6EY38PA000446' to match 2023 prod year.</t>
  </si>
  <si>
    <t>2XBB6FX56PA000812</t>
  </si>
  <si>
    <t xml:space="preserve">  2022-09-21 12PM - ABRIGGS - VIN CHANGE '2B9B6FX57PA001812' to '2XBB6FX56PA000812' to match 2023 prod year.</t>
  </si>
  <si>
    <t>2XBB6FX52PA000810</t>
  </si>
  <si>
    <t xml:space="preserve">  2022-09-21 12PM - ABRIGGS - VIN CHANGE '2B9B6FX53PA001810' to '2XBB6FX52PA000810' to match 2023 prod year.</t>
  </si>
  <si>
    <t>2XBB6FX54PA000811</t>
  </si>
  <si>
    <t xml:space="preserve">  2022-09-21 12PM - ABRIGGS - VIN CHANGE '2B9B6FX55PA001811' to '2XBB6FX54PA000811' to match 2023 prod year.</t>
  </si>
  <si>
    <t>2XBB2TM29PA000520</t>
  </si>
  <si>
    <t xml:space="preserve">  2022-09-21 12PM - ABRIGGS - VIN CHANGE '2B9B2TM2XPA001520' to '2XBB2TM29PA000520' to match 2023 prod year.</t>
  </si>
  <si>
    <t>2XBB2TN21PA000543</t>
  </si>
  <si>
    <t xml:space="preserve">  2022-09-21 12PM - ABRIGGS - VIN CHANGE '2B9B2TN22PA001543' to '2XBB2TN21PA000543' to match 2023 prod year.</t>
  </si>
  <si>
    <t>2XBB2TM29PA000503</t>
  </si>
  <si>
    <t xml:space="preserve">  2022-09-21 12PM - ABRIGGS - VIN CHANGE '2B9B2TM2XPA001503' to '2XBB2TM29PA000503' to match 2023 prod year.</t>
  </si>
  <si>
    <t>2XBB2TN20PA000498</t>
  </si>
  <si>
    <t xml:space="preserve">  2022-09-21 12PM - ABRIGGS - VIN CHANGE '2B9B2TN21PA001498' to '2XBB2TN20PA000498' to match 2023 prod year.</t>
  </si>
  <si>
    <t>2XBB6EW25PA000527</t>
  </si>
  <si>
    <t xml:space="preserve">  2022-09-21 12PM - ABRIGGS - VIN CHANGE '2B9B6EW26PA001527' to '2XBB6EW25PA000527' to match 2023 prod year.</t>
  </si>
  <si>
    <t>2XBB6EW21PA000508</t>
  </si>
  <si>
    <t xml:space="preserve">  2022-09-21 12PM - ABRIGGS - VIN CHANGE '2B9B6EW22PA001508' to '2XBB6EW21PA000508' to match 2023 prod year.</t>
  </si>
  <si>
    <t>2XBB6GW28PA000534</t>
  </si>
  <si>
    <t xml:space="preserve">  2022-09-21 12PM - ABRIGGS - VIN CHANGE '2B9B6GW29PA001534' to '2XBB6GW28PA000534' to match 2023 prod year.</t>
  </si>
  <si>
    <t>2XBB6GW20PA000513</t>
  </si>
  <si>
    <t xml:space="preserve">  2022-09-21 12PM - ABRIGGS - VIN CHANGE '2B9B6GW21PA001513' to '2XBB6GW20PA000513' to match 2023 prod year.</t>
  </si>
  <si>
    <t>2XBB6EY31PA000109</t>
  </si>
  <si>
    <t xml:space="preserve">  2022-09-21 12PM - ABRIGGS - VIN CHANGE '2B9B6EY32PA001109' to '2XBB6EY31PA000109' to match 2023 prod year.</t>
  </si>
  <si>
    <t>2XBB6EY42PA000368</t>
  </si>
  <si>
    <t xml:space="preserve">  2022-09-21 12PM - ABRIGGS - VIN CHANGE '2B9B6EY43PA001368' to '2XBB6EY42PA000368' to match 2023 prod year.</t>
  </si>
  <si>
    <t>2XBB6EY42PA000371</t>
  </si>
  <si>
    <t xml:space="preserve">  2022-09-21 12PM - ABRIGGS - VIN CHANGE '2B9B6EY43PA001371' to '2XBB6EY42PA000371' to match 2023 prod year.</t>
  </si>
  <si>
    <t>2XBB6FY43PA000840</t>
  </si>
  <si>
    <t xml:space="preserve">  2022-09-21 12PM - ABRIGGS - VIN CHANGE '2B9B6FY44PA001840' to '2XBB6FY43PA000840' to match 2023 prod year.</t>
  </si>
  <si>
    <t>2XBB6EY4XPA000375</t>
  </si>
  <si>
    <t xml:space="preserve">  2022-09-21 12PM - ABRIGGS - VIN CHANGE '2B9B6EY40PA001375' to '2XBB6EY4XPA000375' to match 2023 prod year.</t>
  </si>
  <si>
    <t>2XBB6EY44PA000372</t>
  </si>
  <si>
    <t xml:space="preserve">  2022-09-21 12PM - ABRIGGS - VIN CHANGE '2B9B6EY45PA001372' to '2XBB6EY44PA000372' to match 2023 prod year.</t>
  </si>
  <si>
    <t>2XBB6JH38PA000942</t>
  </si>
  <si>
    <t xml:space="preserve">  2022-09-21 12PM - ABRIGGS - VIN CHANGE '2B9B6JH39PA001942' to '2XBB6JH38PA000942' to match 2023 prod year.</t>
  </si>
  <si>
    <t>2XBB2TN24PA000827</t>
  </si>
  <si>
    <t xml:space="preserve">  2022-09-21 12PM - ABRIGGS - VIN CHANGE '2B9B2TN25PA001827' to '2XBB2TN24PA000827' to match 2023 prod year.</t>
  </si>
  <si>
    <t>2XBB6GX22PA000236</t>
  </si>
  <si>
    <t xml:space="preserve">  2022-09-21 12PM - ABRIGGS - VIN CHANGE '2B9B6GX23PA001236' to '2XBB6GX22PA000236' to match 2023 prod year.</t>
  </si>
  <si>
    <t>2XBB6GY28PA000238</t>
  </si>
  <si>
    <t xml:space="preserve">  2022-09-21 12PM - ABRIGGS - VIN CHANGE '2B9B6GY29PA001238' to '2XBB6GY28PA000238' to match 2023 prod year.</t>
  </si>
  <si>
    <t>2XBB6GW23PA000408</t>
  </si>
  <si>
    <t xml:space="preserve">  2022-09-21 12PM - ABRIGGS - VIN CHANGE '2B9B6GW24PA001408' to '2XBB6GW23PA000408' to match 2023 prod year.</t>
  </si>
  <si>
    <t>2XBB6GW25PA000409</t>
  </si>
  <si>
    <t xml:space="preserve">  2022-09-21 12PM - ABRIGGS - VIN CHANGE '2B9B6GW26PA001409' to '2XBB6GW25PA000409' to match 2023 prod year.</t>
  </si>
  <si>
    <t>2XBB6EY3XPA000688</t>
  </si>
  <si>
    <t xml:space="preserve">  2022-09-21 12PM - ABRIGGS - VIN CHANGE '2B9B6EY30PA001688' to '2XBB6EY3XPA000688' to match 2023 prod year.</t>
  </si>
  <si>
    <t>2XBB6GW20PA000687</t>
  </si>
  <si>
    <t xml:space="preserve">  2022-09-21 12PM - ABRIGGS - VIN CHANGE '2B9B6GW21PA001687' to '2XBB6GW20PA000687' to match 2023 prod year.</t>
  </si>
  <si>
    <t>2XBB6GY31PA000588</t>
  </si>
  <si>
    <t xml:space="preserve">  2022-09-21 12PM - ABRIGGS - VIN CHANGE '2B9B6GY32PA001588' to '2XBB6GY31PA000588' to match 2023 prod year.</t>
  </si>
  <si>
    <t>2XBB6GW23PA000926</t>
  </si>
  <si>
    <t xml:space="preserve">  2022-09-21 12PM - ABRIGGS - VIN CHANGE '2B9B6GW24PA001926' to '2XBB6GW23PA000926' to match 2023 prod year.</t>
  </si>
  <si>
    <t>2XBB6GX27PA000927</t>
  </si>
  <si>
    <t xml:space="preserve">  2022-09-21 12PM - ABRIGGS - VIN CHANGE '2B9B6GX28PA001927' to '2XBB6GX27PA000927' to match 2023 prod year.</t>
  </si>
  <si>
    <t>2XBB6GY20PA000928</t>
  </si>
  <si>
    <t xml:space="preserve">  2022-09-21 12PM - ABRIGGS - VIN CHANGE '2B9B6GY21PA001928' to '2XBB6GY20PA000928' to match 2023 prod year.</t>
  </si>
  <si>
    <t>2XBB2TN28PA000944</t>
  </si>
  <si>
    <t xml:space="preserve">  2022-09-21 12PM - ABRIGGS - VIN CHANGE '2B9B2TN29PA001944' to '2XBB2TN28PA000944' to match 2023 prod year.</t>
  </si>
  <si>
    <t>2XBB6GY33PA000589</t>
  </si>
  <si>
    <t xml:space="preserve">  2022-09-21 12PM - ABRIGGS - VIN CHANGE '2B9B6GY34PA001589' to '2XBB6GY33PA000589' to match 2023 prod year.</t>
  </si>
  <si>
    <t>2XBB2TR35PA000189</t>
  </si>
  <si>
    <t xml:space="preserve">  2022-09-21 12PM - ABRIGGS - VIN CHANGE '2B9B2TR36PA001189' to '2XBB2TR35PA000189' to match 2023 prod year.</t>
  </si>
  <si>
    <t>2XBB6EY35PA000193</t>
  </si>
  <si>
    <t xml:space="preserve">  2022-09-21 12PM - ABRIGGS - VIN CHANGE '2B9B6EY36PA001193' to '2XBB6EY35PA000193' to match 2023 prod year.</t>
  </si>
  <si>
    <t>2XBB2TR38PA000185</t>
  </si>
  <si>
    <t xml:space="preserve">  2022-09-21 12PM - ABRIGGS - VIN CHANGE '2B9B2TR39PA001185' to '2XBB2TR38PA000185' to match 2023 prod year.</t>
  </si>
  <si>
    <t>2XBB2TR33PA000191</t>
  </si>
  <si>
    <t xml:space="preserve">  2022-09-21 12PM - ABRIGGS - VIN CHANGE '2B9B2TR34PA001191' to '2XBB2TR33PA000191' to match 2023 prod year.</t>
  </si>
  <si>
    <t>2XBB2TP30PA000197</t>
  </si>
  <si>
    <t xml:space="preserve">  2022-09-21 12PM - ABRIGGS - VIN CHANGE '2B9B2TP31PA001197' to '2XBB2TP30PA000197' to match 2023 prod year.</t>
  </si>
  <si>
    <t>2XBB2TR3XPA000186</t>
  </si>
  <si>
    <t xml:space="preserve">  2022-09-21 12PM - ABRIGGS - VIN CHANGE '2B9B2TR30PA001186' to '2XBB2TR3XPA000186' to match 2023 prod year.</t>
  </si>
  <si>
    <t>2XBB2TP39PA000196</t>
  </si>
  <si>
    <t xml:space="preserve">  2022-09-21 12PM - ABRIGGS - VIN CHANGE '2B9B2TP3XPA001196' to '2XBB2TP39PA000196' to match 2023 prod year.</t>
  </si>
  <si>
    <t>2XBB6EW26PA000200</t>
  </si>
  <si>
    <t xml:space="preserve">  2022-09-21 12PM - ABRIGGS - VIN CHANGE '2B9B6EW27PA001200' to '2XBB6EW26PA000200' to match 2023 prod year.</t>
  </si>
  <si>
    <t>2XBB2TR31PA000190</t>
  </si>
  <si>
    <t xml:space="preserve">  2022-09-21 12PM - ABRIGGS - VIN CHANGE '2B9B2TR32PA001190' to '2XBB2TR31PA000190' to match 2023 prod year.</t>
  </si>
  <si>
    <t>2XBB2TR31PA000187</t>
  </si>
  <si>
    <t xml:space="preserve">  2022-09-21 12PM - ABRIGGS - VIN CHANGE '2B9B2TR32PA001187' to '2XBB2TR31PA000187' to match 2023 prod year.</t>
  </si>
  <si>
    <t>2XBB6EW21PA000198</t>
  </si>
  <si>
    <t xml:space="preserve">  2022-09-21 12PM - ABRIGGS - VIN CHANGE '2B9B6EW22PA001198' to '2XBB6EW21PA000198' to match 2023 prod year.</t>
  </si>
  <si>
    <t>2XBB6EW26PA000231</t>
  </si>
  <si>
    <t xml:space="preserve">  2022-09-21 12PM - ABRIGGS - VIN CHANGE '2B9B6EW27PA001231' to '2XBB6EW26PA000231' to match 2023 prod year.</t>
  </si>
  <si>
    <t>2XBB6EW28PA000232</t>
  </si>
  <si>
    <t xml:space="preserve">  2022-09-21 12PM - ABRIGGS - VIN CHANGE '2B9B6EW29PA001232' to '2XBB6EW28PA000232' to match 2023 prod year.</t>
  </si>
  <si>
    <t>2XBB2TM21PA000706</t>
  </si>
  <si>
    <t xml:space="preserve">  2022-09-21 12PM - ABRIGGS - VIN CHANGE '2B9B2TM22PA001706' to '2XBB2TM21PA000706' to match 2023 prod year.</t>
  </si>
  <si>
    <t>2XBB2TM23PA000707</t>
  </si>
  <si>
    <t xml:space="preserve">  2022-09-21 12PM - ABRIGGS - VIN CHANGE '2B9B2TM24PA001707' to '2XBB2TM23PA000707' to match 2023 prod year.</t>
  </si>
  <si>
    <t>2XBB2TM25PA000708</t>
  </si>
  <si>
    <t xml:space="preserve">  2022-09-21 12PM - ABRIGGS - VIN CHANGE '2B9B2TM26PA001708' to '2XBB2TM25PA000708' to match 2023 prod year.</t>
  </si>
  <si>
    <t>2XBB2TM21PA000723</t>
  </si>
  <si>
    <t xml:space="preserve">  2022-09-21 12PM - ABRIGGS - VIN CHANGE '2B9B2TM22PA001723' to '2XBB2TM21PA000723' to match 2023 prod year.</t>
  </si>
  <si>
    <t>2XBB2TM23PA000724</t>
  </si>
  <si>
    <t xml:space="preserve">  2022-09-21 12PM - ABRIGGS - VIN CHANGE '2B9B2TM24PA001724' to '2XBB2TM23PA000724' to match 2023 prod year.</t>
  </si>
  <si>
    <t>2XBB2TM25PA000725</t>
  </si>
  <si>
    <t xml:space="preserve">  2022-09-21 12PM - ABRIGGS - VIN CHANGE '2B9B2TM26PA001725' to '2XBB2TM25PA000725' to match 2023 prod year.</t>
  </si>
  <si>
    <t>2XBB2TM27PA000726</t>
  </si>
  <si>
    <t xml:space="preserve">  2022-09-21 12PM - ABRIGGS - VIN CHANGE '2B9B2TM28PA001726' to '2XBB2TM27PA000726' to match 2023 prod year.</t>
  </si>
  <si>
    <t>2XBB2TM29PA000727</t>
  </si>
  <si>
    <t xml:space="preserve">  2022-09-21 12PM - ABRIGGS - VIN CHANGE '2B9B2TM2XPA001727' to '2XBB2TM29PA000727' to match 2023 prod year.</t>
  </si>
  <si>
    <t>2XBB2TM20PA000728</t>
  </si>
  <si>
    <t xml:space="preserve">  2022-09-21 12PM - ABRIGGS - VIN CHANGE '2B9B2TM21PA001728' to '2XBB2TM20PA000728' to match 2023 prod year.</t>
  </si>
  <si>
    <t>2XBB2TP35PA000762</t>
  </si>
  <si>
    <t xml:space="preserve">  2022-09-21 12PM - ABRIGGS - VIN CHANGE '2B9B2TP36PA001762' to '2XBB2TP35PA000762' to match 2023 prod year.</t>
  </si>
  <si>
    <t>2XBB2TP37PA000763</t>
  </si>
  <si>
    <t xml:space="preserve">  2022-09-21 12PM - ABRIGGS - VIN CHANGE '2B9B2TP38PA001763' to '2XBB2TP37PA000763' to match 2023 prod year.</t>
  </si>
  <si>
    <t>2XBB2TP39PA000764</t>
  </si>
  <si>
    <t xml:space="preserve">  2022-09-21 12PM - ABRIGGS - VIN CHANGE '2B9B2TP3XPA001764' to '2XBB2TP39PA000764' to match 2023 prod year.</t>
  </si>
  <si>
    <t>2XBB2TP30PA000765</t>
  </si>
  <si>
    <t xml:space="preserve">  2022-09-21 12PM - ABRIGGS - VIN CHANGE '2B9B2TP31PA001765' to '2XBB2TP30PA000765' to match 2023 prod year.</t>
  </si>
  <si>
    <t>2XBB2TP32PA000766</t>
  </si>
  <si>
    <t xml:space="preserve">  2022-09-21 12PM - ABRIGGS - VIN CHANGE '2B9B2TP33PA001766' to '2XBB2TP32PA000766' to match 2023 prod year.</t>
  </si>
  <si>
    <t>2XBB2TP34PA000767</t>
  </si>
  <si>
    <t xml:space="preserve">  2022-09-21 12PM - ABRIGGS - VIN CHANGE '2B9B2TP35PA001767' to '2XBB2TP34PA000767' to match 2023 prod year.</t>
  </si>
  <si>
    <t>2XBB2TN29PA000788</t>
  </si>
  <si>
    <t xml:space="preserve">  2022-09-21 12PM - ABRIGGS - VIN CHANGE '2B9B2TN2XPA001788' to '2XBB2TN29PA000788' to match 2023 prod year.</t>
  </si>
  <si>
    <t>2XBB2TN25PA000786</t>
  </si>
  <si>
    <t xml:space="preserve">  2022-09-21 12PM - ABRIGGS - VIN CHANGE '2B9B2TN26PA001786' to '2XBB2TN25PA000786' to match 2023 prod year.</t>
  </si>
  <si>
    <t>2XBB2TP36PA000804</t>
  </si>
  <si>
    <t xml:space="preserve">  2022-09-21 12PM - ABRIGGS - VIN CHANGE '2B9B2TP37PA001804' to '2XBB2TP36PA000804' to match 2023 prod year.</t>
  </si>
  <si>
    <t>2XBB2TP38PA000805</t>
  </si>
  <si>
    <t xml:space="preserve">  2022-09-21 12PM - ABRIGGS - VIN CHANGE '2B9B2TP39PA001805' to '2XBB2TP38PA000805' to match 2023 prod year.</t>
  </si>
  <si>
    <t>2XBB6FX58PA000813</t>
  </si>
  <si>
    <t xml:space="preserve">  2022-09-21 12PM - ABRIGGS - VIN CHANGE '2B9B6FX59PA001813' to '2XBB6FX58PA000813' to match 2023 prod year.</t>
  </si>
  <si>
    <t>2XBB2TP3XPA000806</t>
  </si>
  <si>
    <t xml:space="preserve">  2022-09-21 12PM - ABRIGGS - VIN CHANGE '2B9B2TP30PA001806' to '2XBB2TP3XPA000806' to match 2023 prod year.</t>
  </si>
  <si>
    <t>2XBB6EY31PA000420</t>
  </si>
  <si>
    <t xml:space="preserve">  2022-09-21 12PM - ABRIGGS - VIN CHANGE '2B9B6EY32PA001420' to '2XBB6EY31PA000420' to match 2023 prod year.</t>
  </si>
  <si>
    <t>2XBB6EY39PA000424</t>
  </si>
  <si>
    <t xml:space="preserve">  2022-09-21 12PM - ABRIGGS - VIN CHANGE '2B9B6EY3XPA001424' to '2XBB6EY39PA000424' to match 2023 prod year.</t>
  </si>
  <si>
    <t>2XBB6FW46PA000415</t>
  </si>
  <si>
    <t xml:space="preserve">  2022-09-21 12PM - ABRIGGS - VIN CHANGE '2B9B6FW47PA001415' to '2XBB6FW46PA000415' to match 2023 prod year.</t>
  </si>
  <si>
    <t>2XBB6FW4XPA000417</t>
  </si>
  <si>
    <t xml:space="preserve">  2022-09-21 12PM - ABRIGGS - VIN CHANGE '2B9B6FW40PA001417' to '2XBB6FW4XPA000417' to match 2023 prod year.</t>
  </si>
  <si>
    <t>2XBB6FW48PA000416</t>
  </si>
  <si>
    <t xml:space="preserve">  2022-09-21 12PM - ABRIGGS - VIN CHANGE '2B9B6FW49PA001416' to '2XBB6FW48PA000416' to match 2023 prod year.</t>
  </si>
  <si>
    <t>2XBB6FY48PA000879</t>
  </si>
  <si>
    <t xml:space="preserve">  2022-09-21 12PM - ABRIGGS - VIN CHANGE '2B9B6FY49PA001879' to '2XBB6FY48PA000879' to match 2023 prod year.</t>
  </si>
  <si>
    <t>2XBB6FY46PA000881</t>
  </si>
  <si>
    <t xml:space="preserve">  2022-09-21 12PM - ABRIGGS - VIN CHANGE '2B9B6FY47PA001881' to '2XBB6FY46PA000881' to match 2023 prod year.</t>
  </si>
  <si>
    <t>2XBB6FY44PA000880</t>
  </si>
  <si>
    <t xml:space="preserve">  2022-09-21 12PM - ABRIGGS - VIN CHANGE '2B9B6FY45PA001880' to '2XBB6FY44PA000880' to match 2023 prod year.</t>
  </si>
  <si>
    <t>2XBB6EY34PA000248</t>
  </si>
  <si>
    <t xml:space="preserve">  2022-09-21 12PM - ABRIGGS - VIN CHANGE '2B9B6EY35PA001248' to '2XBB6EY34PA000248' to match 2023 prod year.</t>
  </si>
  <si>
    <t>2XBB6EY44PA000792</t>
  </si>
  <si>
    <t xml:space="preserve">  2022-09-21 12PM - ABRIGGS - VIN CHANGE '2B9B6EY45PA001792' to '2XBB6EY44PA000792' to match 2023 prod year.</t>
  </si>
  <si>
    <t>2XBB6EY32PA000250</t>
  </si>
  <si>
    <t xml:space="preserve">  2022-09-21 12PM - ABRIGGS - VIN CHANGE '2B9B6EY33PA001250' to '2XBB6EY32PA000250' to match 2023 prod year.</t>
  </si>
  <si>
    <t>2XBB6EY34PA000251</t>
  </si>
  <si>
    <t xml:space="preserve">  2022-09-21 12PM - ABRIGGS - VIN CHANGE '2B9B6EY35PA001251' to '2XBB6EY34PA000251' to match 2023 prod year.</t>
  </si>
  <si>
    <t>2XBB6GY36PA000859</t>
  </si>
  <si>
    <t xml:space="preserve">  2022-09-21 12PM - ABRIGGS - VIN CHANGE '2B9B6GY37PA001859' to '2XBB6GY36PA000859' to match 2023 prod year.</t>
  </si>
  <si>
    <t>2XBB6GY32PA000860</t>
  </si>
  <si>
    <t xml:space="preserve">  2022-09-21 12PM - ABRIGGS - VIN CHANGE '2B9B6GY33PA001860' to '2XBB6GY32PA000860' to match 2023 prod year.</t>
  </si>
  <si>
    <t>2XBB6FY45PA000841</t>
  </si>
  <si>
    <t xml:space="preserve">  2022-09-21 12PM - ABRIGGS - VIN CHANGE '2B9B6FY46PA001841' to '2XBB6FY45PA000841' to match 2023 prod year.</t>
  </si>
  <si>
    <t>2XBB2TP31PA000905</t>
  </si>
  <si>
    <t xml:space="preserve">  2022-09-21 12PM - ABRIGGS - VIN CHANGE '2B9B2TP32PA001905' to '2XBB2TP31PA000905' to match 2023 prod year.</t>
  </si>
  <si>
    <t>2XBB2TP33PA000906</t>
  </si>
  <si>
    <t xml:space="preserve">  2022-09-21 12PM - ABRIGGS - VIN CHANGE '2B9B2TP34PA001906' to '2XBB2TP33PA000906' to match 2023 prod year.</t>
  </si>
  <si>
    <t>2XBB6EY33PA000791</t>
  </si>
  <si>
    <t xml:space="preserve">  2022-09-21 12PM - ABRIGGS - VIN CHANGE '2B9B6EY34PA001791' to '2XBB6EY33PA000791' to match 2023 prod year.</t>
  </si>
  <si>
    <t>2XBB2TP3XPA000904</t>
  </si>
  <si>
    <t xml:space="preserve">  2022-09-21 12PM - ABRIGGS - VIN CHANGE '2B9B2TP30PA001904' to '2XBB2TP3XPA000904' to match 2023 prod year.</t>
  </si>
  <si>
    <t>2XBB6EY41PA000863</t>
  </si>
  <si>
    <t xml:space="preserve">  2022-09-21 12PM - ABRIGGS - VIN CHANGE '2B9B6EY42PA001863' to '2XBB6EY41PA000863' to match 2023 prod year.</t>
  </si>
  <si>
    <t>2XBB6FY47PA000839</t>
  </si>
  <si>
    <t xml:space="preserve">  2022-09-21 12PM - ABRIGGS - VIN CHANGE '2B9B6FY48PA001839' to '2XBB6FY47PA000839' to match 2023 prod year.</t>
  </si>
  <si>
    <t>2XBB6EY34PA000864</t>
  </si>
  <si>
    <t xml:space="preserve">  2022-09-21 12PM - ABRIGGS - VIN CHANGE '2B9B6EY35PA001864' to '2XBB6EY34PA000864' to match 2023 prod year.</t>
  </si>
  <si>
    <t>2XBB6FY48PA000929</t>
  </si>
  <si>
    <t xml:space="preserve">  2022-09-21 12PM - ABRIGGS - VIN CHANGE '2B9B6FY49PA001929' to '2XBB6FY48PA000929' to match 2023 prod year.</t>
  </si>
  <si>
    <t>2XBB6FW40PA000930</t>
  </si>
  <si>
    <t xml:space="preserve">  2022-09-21 12PM - ABRIGGS - VIN CHANGE '2B9B6FW41PA001930' to '2XBB6FW40PA000930' to match 2023 prod year.</t>
  </si>
  <si>
    <t>2XBB6LX49PA000681</t>
  </si>
  <si>
    <t xml:space="preserve">  2022-09-21 12PM - ABRIGGS - VIN CHANGE '2B9B6LX4XPA001681' to '2XBB6LX49PA000681' to match 2023 prod year.</t>
  </si>
  <si>
    <t>2XBB6LX40PA000682</t>
  </si>
  <si>
    <t xml:space="preserve">  2022-09-21 12PM - ABRIGGS - VIN CHANGE '2B9B6LX41PA001682' to '2XBB6LX40PA000682' to match 2023 prod year.</t>
  </si>
  <si>
    <t>2XBB2TR34PA000748</t>
  </si>
  <si>
    <t xml:space="preserve">  2022-09-21 12PM - ABRIGGS - VIN CHANGE '2B9B2TR35PA001748' to '2XBB2TR34PA000748' to match 2023 prod year.</t>
  </si>
  <si>
    <t>2XBB6GY37PA000241</t>
  </si>
  <si>
    <t xml:space="preserve">  2022-09-21 12PM - ABRIGGS - VIN CHANGE '2B9B6GY38PA001241' to '2XBB6GY37PA000241' to match 2023 prod year.</t>
  </si>
  <si>
    <t>2XBB2TR30PA000746</t>
  </si>
  <si>
    <t xml:space="preserve">  2022-09-21 12PM - ABRIGGS - VIN CHANGE '2B9B2TR31PA001746' to '2XBB2TR30PA000746' to match 2023 prod year.</t>
  </si>
  <si>
    <t>2XBB2TR32PA000750</t>
  </si>
  <si>
    <t xml:space="preserve">  2022-09-21 12PM - ABRIGGS - VIN CHANGE '2B9B2TR33PA001750' to '2XBB2TR32PA000750' to match 2023 prod year.</t>
  </si>
  <si>
    <t>2XBB2TR34PA000751</t>
  </si>
  <si>
    <t xml:space="preserve">  2022-09-21 12PM - ABRIGGS - VIN CHANGE '2B9B2TR35PA001751' to '2XBB2TR34PA000751' to match 2023 prod year.</t>
  </si>
  <si>
    <t>2XBB2TN2XPA000752</t>
  </si>
  <si>
    <t xml:space="preserve">  2022-09-21 12PM - ABRIGGS - VIN CHANGE '2B9B2TN20PA001752' to '2XBB2TN2XPA000752' to match 2023 prod year.</t>
  </si>
  <si>
    <t>2XBB2TR37PA000744</t>
  </si>
  <si>
    <t xml:space="preserve">  2022-09-21 12PM - ABRIGGS - VIN CHANGE '2B9B2TR38PA001744' to '2XBB2TR37PA000744' to match 2023 prod year.</t>
  </si>
  <si>
    <t>2XBB2TR36PA000749</t>
  </si>
  <si>
    <t xml:space="preserve">  2022-09-21 12PM - ABRIGGS - VIN CHANGE '2B9B2TR37PA001749' to '2XBB2TR36PA000749' to match 2023 prod year.</t>
  </si>
  <si>
    <t>2XBB6GY35PA000240</t>
  </si>
  <si>
    <t xml:space="preserve">  2022-09-21 12PM - ABRIGGS - VIN CHANGE '2B9B6GY36PA001240' to '2XBB6GY35PA000240' to match 2023 prod year.</t>
  </si>
  <si>
    <t>2XBB6GY39PA000242</t>
  </si>
  <si>
    <t xml:space="preserve">  2022-09-21 12PM - ABRIGGS - VIN CHANGE '2B9B6GY3XPA001242' to '2XBB6GY39PA000242' to match 2023 prod year.</t>
  </si>
  <si>
    <t>2XBB2TR31PA000755</t>
  </si>
  <si>
    <t xml:space="preserve">  2022-09-21 12PM - ABRIGGS - VIN CHANGE '2B9B2TR32PA001755' to '2XBB2TR31PA000755' to match 2023 prod year.</t>
  </si>
  <si>
    <t>2XBB6EY33PA000337</t>
  </si>
  <si>
    <t xml:space="preserve">  2022-09-21 12PM - ABRIGGS - VIN CHANGE '2B9B6EY34PA001337' to '2XBB6EY33PA000337' to match 2023 prod year.</t>
  </si>
  <si>
    <t>2XBB2TR33PA000773</t>
  </si>
  <si>
    <t xml:space="preserve">  2022-09-21 12PM - ABRIGGS - VIN CHANGE '2B9B2TR34PA001773' to '2XBB2TR33PA000773' to match 2023 prod year.</t>
  </si>
  <si>
    <t>2XBB2TR35PA000774</t>
  </si>
  <si>
    <t xml:space="preserve">  2022-09-21 12PM - ABRIGGS - VIN CHANGE '2B9B2TR36PA001774' to '2XBB2TR35PA000774' to match 2023 prod year.</t>
  </si>
  <si>
    <t>2XBB2TR37PA000775</t>
  </si>
  <si>
    <t xml:space="preserve">  2022-09-21 12PM - ABRIGGS - VIN CHANGE '2B9B2TR38PA001775' to '2XBB2TR37PA000775' to match 2023 prod year.</t>
  </si>
  <si>
    <t>2XBB2TR32PA000814</t>
  </si>
  <si>
    <t xml:space="preserve">  2022-09-21 12PM - ABRIGGS - VIN CHANGE '2B9B2TR33PA001814' to '2XBB2TR32PA000814' to match 2023 prod year.</t>
  </si>
  <si>
    <t>2XBB2TR34PA000815</t>
  </si>
  <si>
    <t xml:space="preserve">  2022-09-21 12PM - ABRIGGS - VIN CHANGE '2B9B2TR35PA001815' to '2XBB2TR34PA000815' to match 2023 prod year.</t>
  </si>
  <si>
    <t>2XBB2TR36PA000816</t>
  </si>
  <si>
    <t xml:space="preserve">  2022-09-21 12PM - ABRIGGS - VIN CHANGE '2B9B2TR37PA001816' to '2XBB2TR36PA000816' to match 2023 prod year.</t>
  </si>
  <si>
    <t>2XBB2TR33PA000899</t>
  </si>
  <si>
    <t xml:space="preserve">  2022-09-21 12PM - ABRIGGS - VIN CHANGE '2B9B2TR34PA001899' to '2XBB2TR33PA000899' to match 2023 prod year.</t>
  </si>
  <si>
    <t>2XBB2TR35PA000872</t>
  </si>
  <si>
    <t xml:space="preserve">  2022-09-21 12PM - ABRIGGS - VIN CHANGE '2B9B2TR36PA001872' to '2XBB2TR35PA000872' to match 2023 prod year.</t>
  </si>
  <si>
    <t>2XBB2TR31PA000903</t>
  </si>
  <si>
    <t xml:space="preserve">  2022-09-21 12PM - ABRIGGS - VIN CHANGE '2B9B2TR32PA001903' to '2XBB2TR31PA000903' to match 2023 prod year.</t>
  </si>
  <si>
    <t>2XBB2TR36PA000945</t>
  </si>
  <si>
    <t xml:space="preserve">  2022-09-21 12PM - ABRIGGS - VIN CHANGE '2XBB2TR30PA001945' to '2XBB2TR36PA000945' to match 2023 prod year.</t>
  </si>
  <si>
    <t>2XBB2TR36PA000914</t>
  </si>
  <si>
    <t xml:space="preserve">  2022-09-21 12PM - ABRIGGS - VIN CHANGE '2B9B2TR37PA001914' to '2XBB2TR36PA000914' to match 2023 prod year.</t>
  </si>
  <si>
    <t>2XBB2TP34PA000882</t>
  </si>
  <si>
    <t xml:space="preserve">  2022-09-21 12PM - ABRIGGS - VIN CHANGE '2B9B2TP35PA001882' to '2XBB2TP34PA000882' to match 2023 prod year.</t>
  </si>
  <si>
    <t>2XBB2TR36PA000900</t>
  </si>
  <si>
    <t xml:space="preserve">  2022-09-21 12PM - ABRIGGS - VIN CHANGE '2B9B2TR37PA001900' to '2XBB2TR36PA000900' to match 2023 prod year.</t>
  </si>
  <si>
    <t>2XBB6EY3XPA000335</t>
  </si>
  <si>
    <t xml:space="preserve">  2022-09-21 12PM - ABRIGGS - VIN CHANGE '2B9B6EY30PA001335' to '2XBB6EY3XPA000335' to match 2023 prod year.</t>
  </si>
  <si>
    <t>2XBB6EY35PA000338</t>
  </si>
  <si>
    <t xml:space="preserve">  2022-09-21 12PM - ABRIGGS - VIN CHANGE '2B9B6EY36PA001338' to '2XBB6EY35PA000338' to match 2023 prod year.</t>
  </si>
  <si>
    <t>2XBB6EY37PA000454</t>
  </si>
  <si>
    <t xml:space="preserve">  2022-09-21 12PM - ABRIGGS - VIN CHANGE '2B9B6EY38PA001454' to '2XBB6EY37PA000454' to match 2023 prod year.</t>
  </si>
  <si>
    <t>2XBB6EY37PA000583</t>
  </si>
  <si>
    <t xml:space="preserve">  2022-09-21 12PM - ABRIGGS - VIN CHANGE '2B9B6EY38PA001583' to '2XBB6EY37PA000583' to match 2023 prod year.</t>
  </si>
  <si>
    <t>2XBB6EY31PA000336</t>
  </si>
  <si>
    <t xml:space="preserve">  2022-09-21 12PM - ABRIGGS - VIN CHANGE '2B9B6EY32PA001336' to '2XBB6EY31PA000336' to match 2023 prod year.</t>
  </si>
  <si>
    <t>2XBB6EY35PA000016</t>
  </si>
  <si>
    <t>OLD VIN # 2B9B6EY37PA001154  NEW VIN # 2XBB6EY36RA001016  2022-09-21 12PM - ABRIGGS - VIN CHANGE '2XBB6EY36RA001016' to '2XBB6EY35PA000016' to match 2023 prod year.</t>
  </si>
  <si>
    <t>2XBB6FY36PA000967</t>
  </si>
  <si>
    <t>OLD VIN # 2B9B6FY38PA001332  NEW VIN # 2XBB6FY30PA001967  2022-09-21 12PM - ABRIGGS - VIN CHANGE '2XBB6FY30PA001967' to '2XBB6FY36PA000967' to match 2023 prod year.</t>
  </si>
  <si>
    <t>2XBB6FY34PA000966</t>
  </si>
  <si>
    <t>OLD VIN # 2B9B6FY36PA001331  NEW VIN # 2XBB6FY39PA001966  2022-09-21 12PM - ABRIGGS - VIN CHANGE '2XBB6FY39PA001966' to '2XBB6FY34PA000966' to match 2023 prod year.</t>
  </si>
  <si>
    <t>2XBB2TR35PA000953</t>
  </si>
  <si>
    <t>OLD VIN # 2B9B2TR30PA001883  NEW VIN # 2XBB2TR3XPA001953  2022-09-21 12PM - ABRIGGS - VIN CHANGE '2XBB2TR3XPA001953' to '2XBB2TR35PA000953' to match 2023 prod year.</t>
  </si>
  <si>
    <t>2XBB2TR37PA000954</t>
  </si>
  <si>
    <t>OLD VIN # 2B9B2TR32PA001884  NEW VIN # 2XBB2TR31PA001954  2022-09-21 12PM - ABRIGGS - VIN CHANGE '2XBB2TR31PA001954' to '2XBB2TR37PA000954' to match 2023 prod year.</t>
  </si>
  <si>
    <t>2XBB2TR30PA000956</t>
  </si>
  <si>
    <t>OLD VIN # 2B9B2TR34PA001885  NEW VIN # 2XBB2TR35PA001956  2022-09-21 12PM - ABRIGGS - VIN CHANGE '2XBB2TR35PA001956' to '2XBB2TR30PA000956' to match 2023 prod year.</t>
  </si>
  <si>
    <t>2XBB2TR39PA000955</t>
  </si>
  <si>
    <t>OLD VIN # 2B9B2TR36PA001886  NEW VIN # 2XBB2TR33PA001955  2022-09-21 12PM - ABRIGGS - VIN CHANGE '2XBB2TR33PA001955' to '2XBB2TR39PA000955' to match 2023 prod year.</t>
  </si>
  <si>
    <t>2XBB2TR32PA000957</t>
  </si>
  <si>
    <t>OLD VIN # 2B9B2TR38PA001887  NEW VIN # 2XBB2TR37PA001957  2022-09-21 12PM - ABRIGGS - VIN CHANGE '2XBB2TR37PA001957' to '2XBB2TR32PA000957' to match 2023 prod year.</t>
  </si>
  <si>
    <t>2XBB2TR34PA000958</t>
  </si>
  <si>
    <t>OLD VIN # 2B9B2TR3XPA001888  NEW VIN # 2XBB2TR39PA001958  2022-09-21 12PM - ABRIGGS - VIN CHANGE '2XBB2TR39PA001958' to '2XBB2TR34PA000958' to match 2023 prod year.</t>
  </si>
  <si>
    <t>2XBB6EY37PA000017</t>
  </si>
  <si>
    <t>OLD VIN # 2B9B6EY33PA001796  NEW VIN # 2XBB6EY38RA001017  2022-09-21 12PM - ABRIGGS - VIN CHANGE '2XBB6EY38RA001017' to '2XBB6EY37PA000017' to match 2023 prod year.</t>
  </si>
  <si>
    <t>2XBB2TR36PA000962</t>
  </si>
  <si>
    <t>OLD VIN # 2B9B2TR31PA001889  NEW VIN # 2XBB2TR30PA001962  2022-09-21 12PM - ABRIGGS - VIN CHANGE '2XBB2TR30PA001962' to '2XBB2TR36PA000962' to match 2023 prod year.</t>
  </si>
  <si>
    <t>2XBB2TR3XPA000964</t>
  </si>
  <si>
    <t>OLD VIN # 2B9B2TR38PA001890  NEW VIN # 2XBB2TR34PA001964  2022-09-21 12PM - ABRIGGS - VIN CHANGE '2XBB2TR34PA001964' to '2XBB2TR3XPA000964' to match 2023 prod year.</t>
  </si>
  <si>
    <t>2XBB2TR31PA000965</t>
  </si>
  <si>
    <t>OLD VIN # 2B9B2TR3XPA001891  NEW VIN # 2XBB2TR36PA001965  2022-09-21 12PM - ABRIGGS - VIN CHANGE '2XBB2TR36PA001965' to '2XBB2TR31PA000965' to match 2023 prod year.</t>
  </si>
  <si>
    <t>2XBB6EY39PA000018</t>
  </si>
  <si>
    <t>OLD VIN # 2B9B6EY35PA001797  NEW VIN # 2XBB6EY3XRA001018  2022-09-21 12PM - ABRIGGS - VIN CHANGE '2XBB6EY3XRA001018' to '2XBB6EY39PA000018' to match 2023 prod year.</t>
  </si>
  <si>
    <t>2XBB2TR32PA000960</t>
  </si>
  <si>
    <t>OLD VIN # 2B9B2TR31PA001892  NEW VIN # 2XBB2TR37PA001960  2022-09-21 12PM - ABRIGGS - VIN CHANGE '2XBB2TR37PA001960' to '2XBB2TR32PA000960' to match 2023 prod year.</t>
  </si>
  <si>
    <t>2XBB2TR34PA000961</t>
  </si>
  <si>
    <t>OLD VIN # 2B9B2TR33PA001893  NEW VIN # 2XBB2TR39PA001961  2022-09-21 12PM - ABRIGGS - VIN CHANGE '2XBB2TR39PA001961' to '2XBB2TR34PA000961' to match 2023 prod year.</t>
  </si>
  <si>
    <t>2XBB2TR38PA000963</t>
  </si>
  <si>
    <t>OLD VIN # 2B9B2TR35PA001894  NEW VIN # 2XBB2TR32PA001963  2022-09-21 12PM - ABRIGGS - VIN CHANGE '2XBB2TR32PA001963' to '2XBB2TR38PA000963' to match 2023 prod year.</t>
  </si>
  <si>
    <t>2XBB6EY30PA000019</t>
  </si>
  <si>
    <t>OLD VIN # 2B9B6EY37PA001798  NEW VIN # 2XBB6EY31RA001019  2022-09-21 12PM - ABRIGGS - VIN CHANGE '2XBB6EY31RA001019' to '2XBB6EY30PA000019' to match 2023 prod year.</t>
  </si>
  <si>
    <t>2XBB6VX28PA000021</t>
  </si>
  <si>
    <t>OLD # 2B9B6VX23RA001003  NEW# 2XBB6VX29RA001021  2022-09-21 12PM - ABRIGGS - VIN CHANGE '2XBB6VX29RA001021' to '2XBB6VX28PA000021' to match 2023 prod year.</t>
  </si>
  <si>
    <t>2XBB6EY34PA000329</t>
  </si>
  <si>
    <t xml:space="preserve">  2022-09-21 12PM - ABRIGGS - VIN CHANGE '2B9B6EY35PA001329' to '2XBB6EY34PA000329' to match 2023 prod year.</t>
  </si>
  <si>
    <t>2XBB6GY31PA000266</t>
  </si>
  <si>
    <t xml:space="preserve">  2022-09-21 12PM - ABRIGGS - VIN CHANGE '2B9B6GY32PA001266' to '2XBB6GY31PA000266' to match 2023 prod year.</t>
  </si>
  <si>
    <t>2XBB6GY3XPA000265</t>
  </si>
  <si>
    <t xml:space="preserve">  2022-09-21 12PM - ABRIGGS - VIN CHANGE '2B9B6GY30PA001265' to '2XBB6GY3XPA000265' to match 2023 prod year.</t>
  </si>
  <si>
    <t>2XBB6VX22PA000001</t>
  </si>
  <si>
    <t xml:space="preserve">  2022-09-21 12PM - ABRIGGS - VIN CHANGE '2B9B6VX2XRA001001' to '2XBB6VX22PA000001' to match 2023 prod year.</t>
  </si>
  <si>
    <t>2XBB6LL21PA000646</t>
  </si>
  <si>
    <t xml:space="preserve">  2022-09-21 12PM - ABRIGGS - VIN CHANGE '2B9B6LL22PA001646' to '2XBB6LL21PA000646' to match 2023 prod year.</t>
  </si>
  <si>
    <t>2XBB64R38PA000648</t>
  </si>
  <si>
    <t xml:space="preserve">  2022-09-21 12PM - ABRIGGS - VIN CHANGE '2B9B64R39PA001648' to '2XBB64R38PA000648' to match 2023 prod year.</t>
  </si>
  <si>
    <t>2XBB6ET25PA000743</t>
  </si>
  <si>
    <t xml:space="preserve">  2022-09-21 12PM - ABRIGGS - VIN CHANGE '2B9B6ET26PA001743' to '2XBB6ET25PA000743' to match 2023 prod year.</t>
  </si>
  <si>
    <t>2XBB6DS34PA000768</t>
  </si>
  <si>
    <t xml:space="preserve">  2022-09-21 12PM - ABRIGGS - VIN CHANGE '2B9B6DS35PA001768' to '2XBB6DS34PA000768' to match 2023 prod year.</t>
  </si>
  <si>
    <t>2XBB6DS36PA000769</t>
  </si>
  <si>
    <t xml:space="preserve">  2022-09-21 12PM - ABRIGGS - VIN CHANGE '2B9B6DS37PA001769' to '2XBB6DS36PA000769' to match 2023 prod year.</t>
  </si>
  <si>
    <t>2XBB6DL25PA000770</t>
  </si>
  <si>
    <t xml:space="preserve">  2022-09-21 12PM - ABRIGGS - VIN CHANGE '2B9B6DL26PA001770' to '2XBB6DL25PA000770' to match 2023 prod year.</t>
  </si>
  <si>
    <t>2XBB6DL27PA000771</t>
  </si>
  <si>
    <t xml:space="preserve">  2022-09-21 12PM - ABRIGGS - VIN CHANGE '2B9B6DL28PA001771' to '2XBB6DL27PA000771' to match 2023 prod year.</t>
  </si>
  <si>
    <t>2XBB6EY3XPA000772</t>
  </si>
  <si>
    <t xml:space="preserve">  2022-09-21 12PM - ABRIGGS - VIN CHANGE '2B9B6EY30PA001772' to '2XBB6EY3XPA000772' to match 2023 prod year.</t>
  </si>
  <si>
    <t>2XBB2TN27PA000787</t>
  </si>
  <si>
    <t xml:space="preserve">  2022-09-21 12PM - ABRIGGS - VIN CHANGE '2B9B2TN28PA001787' to '2XBB2TN27PA000787' to match 2023 prod year.</t>
  </si>
  <si>
    <t>2XBB2TN20PA000789</t>
  </si>
  <si>
    <t xml:space="preserve">  2022-09-21 12PM - ABRIGGS - VIN CHANGE '2B9B2TN21PA001789' to '2XBB2TN20PA000789' to match 2023 prod year.</t>
  </si>
  <si>
    <t>2XBB6EY37PA000020</t>
  </si>
  <si>
    <t>OLD VIN # 2B9B6EY39PA001799  NEW VIN # 2XBB6EY38RA001020  2022-09-21 12PM - ABRIGGS - VIN CHANGE '2XBB6EY38RA001020' to '2XBB6EY37PA000020' to match 2023 prod year.</t>
  </si>
  <si>
    <t>2XBB2TN22PA000826</t>
  </si>
  <si>
    <t xml:space="preserve">  2022-09-21 12PM - ABRIGGS - VIN CHANGE '2B9B2TN23PA001826' to '2XBB2TN22PA000826' to match 2023 prod year.</t>
  </si>
  <si>
    <t>2XBB2TN26PA000828</t>
  </si>
  <si>
    <t xml:space="preserve">  2022-09-21 12PM - ABRIGGS - VIN CHANGE '2B9B2TN27PA001828' to '2XBB2TN26PA000828' to match 2023 prod year.</t>
  </si>
  <si>
    <t>2XBB2TN26PA000831</t>
  </si>
  <si>
    <t xml:space="preserve">  2022-09-21 12PM - ABRIGGS - VIN CHANGE '2B9B2TN27PA001831' to '2XBB2TN26PA000831' to match 2023 prod year.</t>
  </si>
  <si>
    <t>2XBB2TN28PA000829</t>
  </si>
  <si>
    <t xml:space="preserve">  2022-09-21 12PM - ABRIGGS - VIN CHANGE '2B9B2TN29PA001829' to '2XBB2TN28PA000829' to match 2023 prod year.</t>
  </si>
  <si>
    <t>2XBB2TN24PA000830</t>
  </si>
  <si>
    <t xml:space="preserve">  2022-09-21 12PM - ABRIGGS - VIN CHANGE '2B9B2TN25PA001830' to '2XBB2TN24PA000830' to match 2023 prod year.</t>
  </si>
  <si>
    <t>2XBB2TR34PA000832</t>
  </si>
  <si>
    <t xml:space="preserve">  2022-09-21 12PM - ABRIGGS - VIN CHANGE '2B9B2TR35PA001832' to '2XBB2TR34PA000832' to match 2023 prod year.</t>
  </si>
  <si>
    <t>2XBB2TR36PA000833</t>
  </si>
  <si>
    <t xml:space="preserve">  2022-09-21 12PM - ABRIGGS - VIN CHANGE '2B9B2TR37PA001833' to '2XBB2TR36PA000833' to match 2023 prod year.</t>
  </si>
  <si>
    <t>2XBB2TR38PA000834</t>
  </si>
  <si>
    <t xml:space="preserve">  2022-09-21 12PM - ABRIGGS - VIN CHANGE '2B9B2TR39PA001834' to '2XBB2TR38PA000834' to match 2023 prod year.</t>
  </si>
  <si>
    <t>2XBB2TR3XPA000835</t>
  </si>
  <si>
    <t xml:space="preserve">  2022-09-21 12PM - ABRIGGS - VIN CHANGE '2B9B2TR30PA001835' to '2XBB2TR3XPA000835' to match 2023 prod year.</t>
  </si>
  <si>
    <t>2XBB2TR31PA000836</t>
  </si>
  <si>
    <t xml:space="preserve">  2022-09-21 12PM - ABRIGGS - VIN CHANGE '2B9B2TR32PA001836' to '2XBB2TR31PA000836' to match 2023 prod year.</t>
  </si>
  <si>
    <t>2XBB2TR33PA000837</t>
  </si>
  <si>
    <t xml:space="preserve">  2022-09-21 12PM - ABRIGGS - VIN CHANGE '2B9B2TR34PA001837' to '2XBB2TR33PA000837' to match 2023 prod year.</t>
  </si>
  <si>
    <t>2XBB2TN22PA000843</t>
  </si>
  <si>
    <t xml:space="preserve">  2022-09-21 12PM - ABRIGGS - VIN CHANGE '2B9B2TN23PA001843' to '2XBB2TN22PA000843' to match 2023 prod year.</t>
  </si>
  <si>
    <t>2XBB2TN24PA000844</t>
  </si>
  <si>
    <t xml:space="preserve">  2022-09-21 12PM - ABRIGGS - VIN CHANGE '2B9B2TN25PA001844' to '2XBB2TN24PA000844' to match 2023 prod year.</t>
  </si>
  <si>
    <t>2XBB2TN26PA000845</t>
  </si>
  <si>
    <t xml:space="preserve">  2022-09-21 12PM - ABRIGGS - VIN CHANGE '2B9B2TN27PA001845' to '2XBB2TN26PA000845' to match 2023 prod year.</t>
  </si>
  <si>
    <t>2XBB2TN28PA000846</t>
  </si>
  <si>
    <t xml:space="preserve">  2022-09-21 12PM - ABRIGGS - VIN CHANGE '2B9B2TN29PA001846' to '2XBB2TN28PA000846' to match 2023 prod year.</t>
  </si>
  <si>
    <t>2XBB2TR36PA000847</t>
  </si>
  <si>
    <t xml:space="preserve">  2022-09-21 12PM - ABRIGGS - VIN CHANGE '2B9B2TR37PA001847' to '2XBB2TR36PA000847' to match 2023 prod year.</t>
  </si>
  <si>
    <t>2XBB2TR38PA000848</t>
  </si>
  <si>
    <t xml:space="preserve">  2022-09-21 12PM - ABRIGGS - VIN CHANGE '2B9B2TR39PA001848' to '2XBB2TR38PA000848' to match 2023 prod year.</t>
  </si>
  <si>
    <t>2XBB2TR3XPA000849</t>
  </si>
  <si>
    <t xml:space="preserve">  2022-09-21 12PM - ABRIGGS - VIN CHANGE '2B9B2TR30PA001849' to '2XBB2TR3XPA000849' to match 2023 prod year.</t>
  </si>
  <si>
    <t>2XBB6VY2XPA000004</t>
  </si>
  <si>
    <t xml:space="preserve">  2022-09-21 12PM - ABRIGGS - VIN CHANGE '2B9B6VY27RA001004' to '2XBB6VY2XPA000004' to match 2023 prod year.</t>
  </si>
  <si>
    <t>2XBB6VY21PA000005</t>
  </si>
  <si>
    <t xml:space="preserve">  2022-09-21 12PM - ABRIGGS - VIN CHANGE '2B9B6VY29RA001005' to '2XBB6VY21PA000005' to match 2023 prod year.</t>
  </si>
  <si>
    <t>2XBB6VY23PA000006</t>
  </si>
  <si>
    <t xml:space="preserve">  2022-09-21 12PM - ABRIGGS - VIN CHANGE '2B9B6VY20RA001006' to '2XBB6VY23PA000006' to match 2023 prod year.</t>
  </si>
  <si>
    <t>2XBB6VY25PA000007</t>
  </si>
  <si>
    <t xml:space="preserve">  2022-09-21 12PM - ABRIGGS - VIN CHANGE '2B9B6VY22RA001007' to '2XBB6VY25PA000007' to match 2023 prod year.</t>
  </si>
  <si>
    <t>2XBB6DL23PA000850</t>
  </si>
  <si>
    <t xml:space="preserve">  2022-09-21 12PM - ABRIGGS - VIN CHANGE '2B9B6DL24PA001850' to '2XBB6DL23PA000850' to match 2023 prod year.</t>
  </si>
  <si>
    <t>2XBB6DL25PA000851</t>
  </si>
  <si>
    <t xml:space="preserve">  2022-09-21 12PM - ABRIGGS - VIN CHANGE '2B9B6DL26PA001851' to '2XBB6DL25PA000851' to match 2023 prod year.</t>
  </si>
  <si>
    <t>2XBB6HT37PA000852</t>
  </si>
  <si>
    <t xml:space="preserve">  2022-09-21 12PM - ABRIGGS - VIN CHANGE '2B9B6HT38PA001852' to '2XBB6HT37PA000852' to match 2023 prod year.</t>
  </si>
  <si>
    <t>2XBB2TM23PA000853</t>
  </si>
  <si>
    <t xml:space="preserve">  2022-09-21 12PM - ABRIGGS - VIN CHANGE '2B9B2TM24PA001853' to '2XBB2TM23PA000853' to match 2023 prod year.</t>
  </si>
  <si>
    <t>2XBB2TM25PA000854</t>
  </si>
  <si>
    <t xml:space="preserve">  2022-09-21 12PM - ABRIGGS - VIN CHANGE '2B9B2TM26PA001854' to '2XBB2TM25PA000854' to match 2023 prod year.</t>
  </si>
  <si>
    <t>2XBB64R36PA000647</t>
  </si>
  <si>
    <t xml:space="preserve">  2022-09-21 12PM - ABRIGGS - VIN CHANGE '2B9B64R37PA001647' to '2XBB64R36PA000647' to match 2023 prod year.</t>
  </si>
  <si>
    <t>2XBB6LW34PA000855</t>
  </si>
  <si>
    <t xml:space="preserve">  2022-09-21 12PM - ABRIGGS - VIN CHANGE '2B9B6LW35PA001855' to '2XBB6LW34PA000855' to match 2023 prod year.</t>
  </si>
  <si>
    <t>2XBB6LW36PA000856</t>
  </si>
  <si>
    <t xml:space="preserve">  2022-09-21 12PM - ABRIGGS - VIN CHANGE '2B9B6LW37PA001856' to '2XBB6LW36PA000856' to match 2023 prod year.</t>
  </si>
  <si>
    <t>2XBB6EY39PA000858</t>
  </si>
  <si>
    <t xml:space="preserve">  2022-09-21 12PM - ABRIGGS - VIN CHANGE '2B9B6EY3XPA001858' to '2XBB6EY39PA000858' to match 2023 prod year.</t>
  </si>
  <si>
    <t>2XBB6LL23PA000650</t>
  </si>
  <si>
    <t xml:space="preserve">  2022-09-21 12PM - ABRIGGS - VIN CHANGE '2B9B6LL24PA001650' to '2XBB6LL23PA000650' to match 2023 prod year.</t>
  </si>
  <si>
    <t>2XBB6LL27PA000649</t>
  </si>
  <si>
    <t xml:space="preserve">  2022-09-21 12PM - ABRIGGS - VIN CHANGE '2B9B6LL28PA001649' to '2XBB6LL27PA000649' to match 2023 prod year.</t>
  </si>
  <si>
    <t>2XBB64R32PA000645</t>
  </si>
  <si>
    <t xml:space="preserve">  2022-09-21 12PM - ABRIGGS - VIN CHANGE '2B9B64R33PA001645' to '2XBB64R32PA000645' to match 2023 prod year.</t>
  </si>
  <si>
    <t>2XBB2TP34PA000865</t>
  </si>
  <si>
    <t xml:space="preserve">  2022-09-21 12PM - ABRIGGS - VIN CHANGE '2B9B2TP35PA001865' to '2XBB2TP34PA000865' to match 2023 prod year.</t>
  </si>
  <si>
    <t>2XBB2TM26PA000866</t>
  </si>
  <si>
    <t xml:space="preserve">  2022-09-21 12PM - ABRIGGS - VIN CHANGE '2B9B2TM22PA001866' to '2XBB2TM26PA000866' to match 2023 prod year.</t>
  </si>
  <si>
    <t>2XBB2TR31PA000867</t>
  </si>
  <si>
    <t xml:space="preserve">  2022-09-21 12PM - ABRIGGS - VIN CHANGE '2B9B2TR32PA001867' to '2XBB2TR31PA000867' to match 2023 prod year.</t>
  </si>
  <si>
    <t>2XBB2TR33PA000868</t>
  </si>
  <si>
    <t xml:space="preserve">  2022-09-21 12PM - ABRIGGS - VIN CHANGE '2B9B2TR34PA001868' to '2XBB2TR33PA000868' to match 2023 prod year.</t>
  </si>
  <si>
    <t>2XBB2TR35PA000869</t>
  </si>
  <si>
    <t xml:space="preserve">  2022-09-21 12PM - ABRIGGS - VIN CHANGE '2B9B2TR36PA001869' to '2XBB2TR35PA000869' to match 2023 prod year.</t>
  </si>
  <si>
    <t>2XBB2TR31PA000870</t>
  </si>
  <si>
    <t xml:space="preserve">  2022-09-21 12PM - ABRIGGS - VIN CHANGE '2B9B2TR32PA001870' to '2XBB2TR31PA000870' to match 2023 prod year.</t>
  </si>
  <si>
    <t>2XBB2TR33PA000871</t>
  </si>
  <si>
    <t xml:space="preserve">  2022-09-21 12PM - ABRIGGS - VIN CHANGE '2B9B2TR34PA001871' to '2XBB2TR33PA000871' to match 2023 prod year.</t>
  </si>
  <si>
    <t>2XBB2TP35PA000874</t>
  </si>
  <si>
    <t xml:space="preserve">  2022-09-21 12PM - ABRIGGS - VIN CHANGE '2B9B2TP36PA001874' to '2XBB2TP35PA000874' to match 2023 prod year.</t>
  </si>
  <si>
    <t>2XBB2TR3XPA000950</t>
  </si>
  <si>
    <t>OLD VIN # 2B9B2TR31PA001875  NEW VIN # 2XBB2TR34PA001950  2022-09-21 12PM - ABRIGGS - VIN CHANGE '2XBB2TR34PA001950' to '2XBB2TR3XPA000950' to match 2023 prod year.</t>
  </si>
  <si>
    <t>2XBB2TR33PA000949</t>
  </si>
  <si>
    <t>OLD VIN # 2B9B2TR33PA001876  NEW VIN # 2XBB2TR38PA001949  2022-09-21 12PM - ABRIGGS - VIN CHANGE '2XBB2TR38PA001949' to '2XBB2TR33PA000949' to match 2023 prod year.</t>
  </si>
  <si>
    <t>2XBB2TR31PA000951</t>
  </si>
  <si>
    <t>OLD VIN # 2B9B2TR35PA001877  NEW VIN # 2XBB2TR36PA001951  2022-09-21 12PM - ABRIGGS - VIN CHANGE '2XBB2TR36PA001951' to '2XBB2TR31PA000951' to match 2023 prod year.</t>
  </si>
  <si>
    <t>2XBB6EY31PA000952</t>
  </si>
  <si>
    <t>OLD VIN # 2B9B6EY35PA001878  NEW VIN # 2XBB6EY36PA001952  2022-09-21 12PM - ABRIGGS - VIN CHANGE '2XBB6EY36PA001952' to '2XBB6EY31PA000952' to match 2023 prod year.</t>
  </si>
  <si>
    <t>2XBB2TR36PA000895</t>
  </si>
  <si>
    <t xml:space="preserve">  2022-09-21 12PM - ABRIGGS - VIN CHANGE '2B9B2TR37PA001895' to '2XBB2TR36PA000895' to match 2023 prod year.</t>
  </si>
  <si>
    <t>2XBB2TR38PA000896</t>
  </si>
  <si>
    <t xml:space="preserve">  2022-09-21 12PM - ABRIGGS - VIN CHANGE '2B9B2TR39PA001896' to '2XBB2TR38PA000896' to match 2023 prod year.</t>
  </si>
  <si>
    <t>2XBB2TR3XPA000897</t>
  </si>
  <si>
    <t xml:space="preserve">  2022-09-21 12PM - ABRIGGS - VIN CHANGE '2B9B2TR30PA001897' to '2XBB2TR3XPA000897' to match 2023 prod year.</t>
  </si>
  <si>
    <t>2XBB2TR31PA000898</t>
  </si>
  <si>
    <t xml:space="preserve">  2022-09-21 12PM - ABRIGGS - VIN CHANGE '2B9B2TR32PA001898' to '2XBB2TR31PA000898' to match 2023 prod year.</t>
  </si>
  <si>
    <t>2XBB2TP34PA000901</t>
  </si>
  <si>
    <t xml:space="preserve">  2022-09-21 12PM - ABRIGGS - VIN CHANGE '2B9B2TP35PA001901' to '2XBB2TP34PA000901' to match 2023 prod year.</t>
  </si>
  <si>
    <t>2XBB2TR39PA000907</t>
  </si>
  <si>
    <t xml:space="preserve">  2022-09-21 12PM - ABRIGGS - VIN CHANGE '2B9B2TR3XPA001907' to '2XBB2TR39PA000907' to match 2023 prod year.</t>
  </si>
  <si>
    <t>2XBB2TR30PA000908</t>
  </si>
  <si>
    <t xml:space="preserve">  2022-09-21 12PM - ABRIGGS - VIN CHANGE '2B9B2TR31PA001908' to '2XBB2TR30PA000908' to match 2023 prod year.</t>
  </si>
  <si>
    <t>2XBB2TR32PA000909</t>
  </si>
  <si>
    <t xml:space="preserve">  2022-09-21 12PM - ABRIGGS - VIN CHANGE '2B9B2TR33PA001909' to '2XBB2TR32PA000909' to match 2023 prod year.</t>
  </si>
  <si>
    <t>2XBB2TR39PA000910</t>
  </si>
  <si>
    <t xml:space="preserve">  2022-09-21 12PM - ABRIGGS - VIN CHANGE '2B9B2TR3XPA001910' to '2XBB2TR39PA000910' to match 2023 prod year.</t>
  </si>
  <si>
    <t>2XBB2TR30PA000911</t>
  </si>
  <si>
    <t xml:space="preserve">  2022-09-21 12PM - ABRIGGS - VIN CHANGE '2B9B2TR31PA001911' to '2XBB2TR30PA000911' to match 2023 prod year.</t>
  </si>
  <si>
    <t>2XBB2TR32PA000912</t>
  </si>
  <si>
    <t xml:space="preserve">  2022-09-21 12PM - ABRIGGS - VIN CHANGE '2B9B2TR33PA001912' to '2XBB2TR32PA000912' to match 2023 prod year.</t>
  </si>
  <si>
    <t>2XBB2TR34PA000913</t>
  </si>
  <si>
    <t xml:space="preserve">  2022-09-21 12PM - ABRIGGS - VIN CHANGE '2B9B2TR35PA001913' to '2XBB2TR34PA000913' to match 2023 prod year.</t>
  </si>
  <si>
    <t>2XBB2TR38PA000915</t>
  </si>
  <si>
    <t xml:space="preserve">  2022-09-21 12PM - ABRIGGS - VIN CHANGE '2B9B2TR39PA001915' to '2XBB2TR38PA000915' to match 2023 prod year.</t>
  </si>
  <si>
    <t>2XBB2TR3XPA000916</t>
  </si>
  <si>
    <t xml:space="preserve">  2022-09-21 12PM - ABRIGGS - VIN CHANGE '2B9B2TR30PA001916' to '2XBB2TR3XPA000916' to match 2023 prod year.</t>
  </si>
  <si>
    <t>2XBB2TR31PA000917</t>
  </si>
  <si>
    <t xml:space="preserve">  2022-09-21 12PM - ABRIGGS - VIN CHANGE '2B9B2TR32PA001917' to '2XBB2TR31PA000917' to match 2023 prod year.</t>
  </si>
  <si>
    <t>2XBB2TP3XPA000918</t>
  </si>
  <si>
    <t xml:space="preserve">  2022-09-21 12PM - ABRIGGS - VIN CHANGE '2B9B2TP30PA001918' to '2XBB2TP3XPA000918' to match 2023 prod year.</t>
  </si>
  <si>
    <t>2XBB2TP31PA000919</t>
  </si>
  <si>
    <t xml:space="preserve">  2022-09-21 12PM - ABRIGGS - VIN CHANGE '2B9B2TP32PA001919' to '2XBB2TP31PA000919' to match 2023 prod year.</t>
  </si>
  <si>
    <t>2XBB2TP38PA000920</t>
  </si>
  <si>
    <t xml:space="preserve">  2022-09-21 12PM - ABRIGGS - VIN CHANGE '2B9B2TP39PA001920' to '2XBB2TP38PA000920' to match 2023 prod year.</t>
  </si>
  <si>
    <t>2XBB2TM25PA000921</t>
  </si>
  <si>
    <t xml:space="preserve">  2022-09-21 12PM - ABRIGGS - VIN CHANGE '2B9B2TM26PA001921' to '2XBB2TM25PA000921' to match 2023 prod year.</t>
  </si>
  <si>
    <t>2XBB2TM27PA000922</t>
  </si>
  <si>
    <t xml:space="preserve">  2022-09-21 12PM - ABRIGGS - VIN CHANGE '2B9B2TM28PA001922' to '2XBB2TM27PA000922' to match 2023 prod year.</t>
  </si>
  <si>
    <t>2XBB2TM29PA000923</t>
  </si>
  <si>
    <t xml:space="preserve">  2022-09-21 12PM - ABRIGGS - VIN CHANGE '2B9B2TM2XPA001923' to '2XBB2TM29PA000923' to match 2023 prod year.</t>
  </si>
  <si>
    <t>2XBB6LX49PA000924</t>
  </si>
  <si>
    <t xml:space="preserve">  2022-09-21 12PM - ABRIGGS - VIN CHANGE '2B9B6LX4XPA001924' to '2XBB6LX49PA000924' to match 2023 prod year.</t>
  </si>
  <si>
    <t>2XBB6LX40PA000925</t>
  </si>
  <si>
    <t xml:space="preserve">  2022-09-21 12PM - ABRIGGS - VIN CHANGE '2B9B6LX41PA001925' to '2XBB6LX40PA000925' to match 2023 prod year.</t>
  </si>
  <si>
    <t>2XBB2TP32PA000931</t>
  </si>
  <si>
    <t xml:space="preserve">  2022-09-21 12PM - ABRIGGS - VIN CHANGE '2B9B2TP33PA001931' to '2XBB2TP32PA000931' to match 2023 prod year.</t>
  </si>
  <si>
    <t>2XBB2TR38PA000932</t>
  </si>
  <si>
    <t xml:space="preserve">  2022-09-21 12PM - ABRIGGS - VIN CHANGE '2B9B2TR39PA001932' to '2XBB2TR38PA000932' to match 2023 prod year.</t>
  </si>
  <si>
    <t>2XBB2TM21PA000933</t>
  </si>
  <si>
    <t xml:space="preserve">  2022-09-21 12PM - ABRIGGS - VIN CHANGE '2B9B2TM22PA001933' to '2XBB2TM21PA000933' to match 2023 prod year.</t>
  </si>
  <si>
    <t>2XBB2TN25PA000934</t>
  </si>
  <si>
    <t xml:space="preserve">  2022-09-21 12PM - ABRIGGS - VIN CHANGE '2B9B2TN26PA001934' to '2XBB2TN25PA000934' to match 2023 prod year.</t>
  </si>
  <si>
    <t>2XBB2TP3XPA000935</t>
  </si>
  <si>
    <t xml:space="preserve">  2022-09-21 12PM - ABRIGGS - VIN CHANGE '2B9B2TP30PA001935' to '2XBB2TP3XPA000935' to match 2023 prod year.</t>
  </si>
  <si>
    <t>2XBB2TR35PA000936</t>
  </si>
  <si>
    <t xml:space="preserve">  2022-09-21 12PM - ABRIGGS - VIN CHANGE '2B9B2TR36PA001936' to '2XBB2TR35PA000936' to match 2023 prod year.</t>
  </si>
  <si>
    <t>2XBB2TP32PA000010</t>
  </si>
  <si>
    <t xml:space="preserve">  2022-09-21 12PM - ABRIGGS - VIN CHANGE '2B9B2TP3XRA001010' to '2XBB2TP32PA000010' to match 2023 prod year.</t>
  </si>
  <si>
    <t>2XBB2TM2XPA000008</t>
  </si>
  <si>
    <t xml:space="preserve">  2022-09-21 12PM - ABRIGGS - VIN CHANGE '2B9B2TM27RA001008' to '2XBB2TM2XPA000008' to match 2023 prod year.</t>
  </si>
  <si>
    <t>2XBB2TN23PA000009</t>
  </si>
  <si>
    <t xml:space="preserve">  2022-09-21 12PM - ABRIGGS - VIN CHANGE '2B9B2TN20RA001009' to '2XBB2TN23PA000009' to match 2023 prod year.</t>
  </si>
  <si>
    <t>2XBB2TR38PA000011</t>
  </si>
  <si>
    <t xml:space="preserve">  2022-09-21 12PM - ABRIGGS - VIN CHANGE '2B9B2TR35RA001011' to '2XBB2TR38PA000011' to match 2023 prod year.</t>
  </si>
  <si>
    <t>2XBB2TM21PA000012</t>
  </si>
  <si>
    <t xml:space="preserve">  2022-09-21 12PM - ABRIGGS - VIN CHANGE '2B9B2TM29RA001012' to '2XBB2TM21PA000012' to match 2023 prod year.</t>
  </si>
  <si>
    <t>2XBB6EY35PA000937</t>
  </si>
  <si>
    <t xml:space="preserve">  2022-09-21 12PM - ABRIGGS - VIN CHANGE '2B9B6EY36PA001937' to '2XBB6EY35PA000937' to match 2023 prod year.</t>
  </si>
  <si>
    <t>2XBB6EY37PA000938</t>
  </si>
  <si>
    <t xml:space="preserve">  2022-09-21 12PM - ABRIGGS - VIN CHANGE '2B9B6EY38PA001938' to '2XBB6EY37PA000938' to match 2023 prod year.</t>
  </si>
  <si>
    <t>2XBB6EY39PA000939</t>
  </si>
  <si>
    <t xml:space="preserve">  2022-09-21 12PM - ABRIGGS - VIN CHANGE '2B9B6EY3XPA001939' to '2XBB6EY39PA000939' to match 2023 prod year.</t>
  </si>
  <si>
    <t>2XBB6EY35PA000940</t>
  </si>
  <si>
    <t xml:space="preserve">  2022-09-21 12PM - ABRIGGS - VIN CHANGE '2B9B6EY36PA001940' to '2XBB6EY35PA000940' to match 2023 prod year.</t>
  </si>
  <si>
    <t>2XBB2TP35PA000941</t>
  </si>
  <si>
    <t xml:space="preserve">  2022-09-21 12PM - ABRIGGS - VIN CHANGE '2B9B2TP36PA001941' to '2XBB2TP35PA000941' to match 2023 prod year.</t>
  </si>
  <si>
    <t>2XBB6JH3XPA000943</t>
  </si>
  <si>
    <t xml:space="preserve">  2022-09-21 12PM - ABRIGGS - VIN CHANGE '2B9B6JH30PA001943' to '2XBB6JH3XPA000943' to match 2023 prod year.</t>
  </si>
  <si>
    <t>2XBB6EY39PA000455</t>
  </si>
  <si>
    <t xml:space="preserve">  2022-09-21 12PM - ABRIGGS - VIN CHANGE '2B9B6EY3XPA001455' to '2XBB6EY39PA000455' to match 2023 prod year.</t>
  </si>
  <si>
    <t>2XBB6EY36PA000946</t>
  </si>
  <si>
    <t xml:space="preserve">  2022-09-21 12PM - ABRIGGS - VIN CHANGE '2XBB6EY30PA001946' to '2XBB6EY36PA000946' to match 2023 prod year.</t>
  </si>
  <si>
    <t>2XBB2TP36PA000947</t>
  </si>
  <si>
    <t xml:space="preserve">  2022-09-21 12PM - ABRIGGS - VIN CHANGE '2XBB2TP30PA001947' to '2XBB2TP36PA000947' to match 2023 prod year.</t>
  </si>
  <si>
    <t>2XBB2TR31PA000013</t>
  </si>
  <si>
    <t xml:space="preserve">  2022-09-21 12PM - ABRIGGS - VIN CHANGE '2XBB2TR32RA001013' to '2XBB2TR31PA000013' to match 2023 prod year.</t>
  </si>
  <si>
    <t>2XBB2TP38PA000948</t>
  </si>
  <si>
    <t xml:space="preserve">  2022-09-21 12PM - ABRIGGS - VIN CHANGE '2XBB2TP32PA001948' to '2XBB2TP38PA000948' to match 2023 prod year.</t>
  </si>
  <si>
    <t>Quote#</t>
  </si>
  <si>
    <t>Diamond International Trucks Ltd.</t>
  </si>
  <si>
    <t>Redhead Equipment Ltd.</t>
  </si>
  <si>
    <t>Nuss Truck &amp; Equipment</t>
  </si>
  <si>
    <t>Northeast Truck &amp; Trailer Sales</t>
  </si>
  <si>
    <t>Remorques Lewis Inc.</t>
  </si>
  <si>
    <t>S &amp; S Trailers Sales, Inc</t>
  </si>
  <si>
    <t>Wieland Sales Inc.</t>
  </si>
  <si>
    <t>Fort Garry Industries Ltd.</t>
  </si>
  <si>
    <t>BWS - US Direct Sales</t>
  </si>
  <si>
    <t>Transit Trailer Limited</t>
  </si>
  <si>
    <t>TEC Equipment Inc.</t>
  </si>
  <si>
    <t>Demountable Concepts, Inc.</t>
  </si>
  <si>
    <t>Hale Trailer Brake &amp; Wheel</t>
  </si>
  <si>
    <t>BWS Manufacturing Ltd.</t>
  </si>
  <si>
    <t>Trailers Plus</t>
  </si>
  <si>
    <t>Atlantic Powertrain &amp; Equipment</t>
  </si>
  <si>
    <t>Stargate Mgf (2020) Ltd.</t>
  </si>
  <si>
    <t>Fleet Maintenance, Inc.</t>
  </si>
  <si>
    <t>Weaco Equipment</t>
  </si>
  <si>
    <t>48ET3X</t>
  </si>
  <si>
    <t>42ET3X</t>
  </si>
  <si>
    <t>53ET3X</t>
  </si>
  <si>
    <t>48ET2X</t>
  </si>
  <si>
    <t>25ART</t>
  </si>
  <si>
    <t>25ANR</t>
  </si>
  <si>
    <t>53ET3XP</t>
  </si>
  <si>
    <t>25NTT</t>
  </si>
  <si>
    <t>55HDG3X E</t>
  </si>
  <si>
    <t>48ET2XP</t>
  </si>
  <si>
    <t>53ET4X MR</t>
  </si>
  <si>
    <t>53HF3X 2018</t>
  </si>
  <si>
    <t>35ADG2X51 AGNR</t>
  </si>
  <si>
    <t>35ADG2X53 AGNR</t>
  </si>
  <si>
    <t>55HDG3X H</t>
  </si>
  <si>
    <t>42DD3X</t>
  </si>
  <si>
    <t>35ADG2X AGNR</t>
  </si>
  <si>
    <t>48HF4X</t>
  </si>
  <si>
    <t>35ADG2X NR</t>
  </si>
  <si>
    <t>20NTT</t>
  </si>
  <si>
    <t>20ANR</t>
  </si>
  <si>
    <t>40ADG3X53 AGLP</t>
  </si>
  <si>
    <t>39LBT3X W</t>
  </si>
  <si>
    <t>30LBT2X W</t>
  </si>
  <si>
    <t>51VT4V DCI</t>
  </si>
  <si>
    <t>51LF4X5T V2018</t>
  </si>
  <si>
    <t>35ADG2X48 AGULP</t>
  </si>
  <si>
    <t>30ART</t>
  </si>
  <si>
    <t>53ET3X MR EAST</t>
  </si>
  <si>
    <t>30ANR</t>
  </si>
  <si>
    <t>37DT3X</t>
  </si>
  <si>
    <t>42ET2X</t>
  </si>
  <si>
    <t>27DT2X V2018</t>
  </si>
  <si>
    <t>30NTT</t>
  </si>
  <si>
    <t>20ART</t>
  </si>
  <si>
    <t>50HF5X</t>
  </si>
  <si>
    <t>53HF4X</t>
  </si>
  <si>
    <t>JD2+1X</t>
  </si>
  <si>
    <t>53VT2V WREN</t>
  </si>
  <si>
    <t>End Dump 4X</t>
  </si>
  <si>
    <t>48LD3X5T V2018</t>
  </si>
  <si>
    <t>Pony 3X17</t>
  </si>
  <si>
    <t>52LD4X5T</t>
  </si>
  <si>
    <t>Dump SF4X</t>
  </si>
  <si>
    <t>Dealer</t>
  </si>
  <si>
    <t>Model Name</t>
  </si>
  <si>
    <t>Old Serial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</si>
</sst>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H1048576" totalsRowShown="0">
  <autoFilter ref="A1:H1048576">
    <filterColumn colId="2"/>
    <filterColumn colId="6"/>
    <filterColumn colId="7"/>
  </autoFilter>
  <tableColumns count="8">
    <tableColumn id="1" name="Quote#"/>
    <tableColumn id="2" name="WO#" dataDxfId="2"/>
    <tableColumn id="6" name="Old Serial" dataDxfId="0"/>
    <tableColumn id="3" name="Serial Number"/>
    <tableColumn id="4" name="Prod Date" dataDxfId="1"/>
    <tableColumn id="5" name="Special Instructions"/>
    <tableColumn id="7" name="Dealer"/>
    <tableColumn id="9" name="Model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4"/>
  <sheetViews>
    <sheetView tabSelected="1" workbookViewId="0">
      <selection activeCell="C262" sqref="C262"/>
    </sheetView>
  </sheetViews>
  <sheetFormatPr defaultRowHeight="15"/>
  <cols>
    <col min="1" max="1" width="9.85546875" bestFit="1" customWidth="1"/>
    <col min="2" max="2" width="14.85546875" style="2" customWidth="1"/>
    <col min="3" max="3" width="20.140625" bestFit="1" customWidth="1"/>
    <col min="4" max="4" width="20.28515625" bestFit="1" customWidth="1"/>
    <col min="5" max="5" width="12" style="1" bestFit="1" customWidth="1"/>
    <col min="6" max="6" width="165.28515625" bestFit="1" customWidth="1"/>
    <col min="7" max="7" width="31.42578125" bestFit="1" customWidth="1"/>
    <col min="8" max="8" width="17.5703125" bestFit="1" customWidth="1"/>
  </cols>
  <sheetData>
    <row r="1" spans="1:8">
      <c r="A1" t="s">
        <v>513</v>
      </c>
      <c r="B1" s="2" t="s">
        <v>2</v>
      </c>
      <c r="C1" t="s">
        <v>579</v>
      </c>
      <c r="D1" t="s">
        <v>0</v>
      </c>
      <c r="E1" s="1" t="s">
        <v>1</v>
      </c>
      <c r="F1" t="s">
        <v>3</v>
      </c>
      <c r="G1" t="s">
        <v>577</v>
      </c>
      <c r="H1" t="s">
        <v>578</v>
      </c>
    </row>
    <row r="2" spans="1:8">
      <c r="A2">
        <v>26139</v>
      </c>
      <c r="B2" s="2">
        <v>10015126</v>
      </c>
      <c r="C2" s="2" t="str">
        <f>IF(LEN(Table2[[#This Row],[Serial Number]]) &gt; 4, RIGHT(LEFT(Table2[[#This Row],[Special Instructions]], FIND("VIN CHANGE", Table2[[#This Row],[Special Instructions]]) + 28), 17), Table2[[#This Row],[Serial Number]])</f>
        <v>2XBB6EW39RA001014</v>
      </c>
      <c r="D2" t="s">
        <v>4</v>
      </c>
      <c r="E2" s="1">
        <v>44897</v>
      </c>
      <c r="F2" t="s">
        <v>5</v>
      </c>
      <c r="G2" t="s">
        <v>514</v>
      </c>
      <c r="H2" t="s">
        <v>533</v>
      </c>
    </row>
    <row r="3" spans="1:8">
      <c r="A3">
        <v>26174</v>
      </c>
      <c r="B3" s="2">
        <v>10015135</v>
      </c>
      <c r="C3" s="2" t="str">
        <f>IF(LEN(Table2[[#This Row],[Serial Number]]) &gt; 4, RIGHT(LEFT(Table2[[#This Row],[Special Instructions]], FIND("VIN CHANGE", Table2[[#This Row],[Special Instructions]]) + 28), 17), Table2[[#This Row],[Serial Number]])</f>
        <v>2XBB6ET3XPA001959</v>
      </c>
      <c r="D3" t="s">
        <v>6</v>
      </c>
      <c r="E3" s="1">
        <v>44866</v>
      </c>
      <c r="F3" t="s">
        <v>7</v>
      </c>
      <c r="G3" t="s">
        <v>514</v>
      </c>
      <c r="H3" t="s">
        <v>534</v>
      </c>
    </row>
    <row r="4" spans="1:8">
      <c r="A4">
        <v>26255</v>
      </c>
      <c r="B4" s="2">
        <v>10016009</v>
      </c>
      <c r="C4" s="2" t="str">
        <f>IF(LEN(Table2[[#This Row],[Serial Number]]) &gt; 4, RIGHT(LEFT(Table2[[#This Row],[Special Instructions]], FIND("VIN CHANGE", Table2[[#This Row],[Special Instructions]]) + 28), 17), Table2[[#This Row],[Serial Number]])</f>
        <v>2XBB6EY34RA001015</v>
      </c>
      <c r="D4" t="s">
        <v>8</v>
      </c>
      <c r="E4" s="1">
        <v>44903</v>
      </c>
      <c r="F4" t="s">
        <v>9</v>
      </c>
      <c r="G4" t="s">
        <v>514</v>
      </c>
      <c r="H4" t="s">
        <v>535</v>
      </c>
    </row>
    <row r="5" spans="1:8">
      <c r="A5">
        <v>26284</v>
      </c>
      <c r="B5" s="2">
        <v>10015884</v>
      </c>
      <c r="C5" s="2" t="str">
        <f>IF(LEN(Table2[[#This Row],[Serial Number]]) &gt; 4, RIGHT(LEFT(Table2[[#This Row],[Special Instructions]], FIND("VIN CHANGE", Table2[[#This Row],[Special Instructions]]) + 28), 17), Table2[[#This Row],[Serial Number]])</f>
        <v>2B9B6EY32PA001109</v>
      </c>
      <c r="D5" t="s">
        <v>43</v>
      </c>
      <c r="E5" s="1">
        <v>44839</v>
      </c>
      <c r="F5" t="s">
        <v>44</v>
      </c>
      <c r="G5" t="s">
        <v>515</v>
      </c>
      <c r="H5" t="s">
        <v>535</v>
      </c>
    </row>
    <row r="6" spans="1:8">
      <c r="A6">
        <v>26423</v>
      </c>
      <c r="B6" s="2">
        <v>10016010</v>
      </c>
      <c r="C6" s="2" t="str">
        <f>IF(LEN(Table2[[#This Row],[Serial Number]]) &gt; 4, RIGHT(LEFT(Table2[[#This Row],[Special Instructions]], FIND("VIN CHANGE", Table2[[#This Row],[Special Instructions]]) + 28), 17), Table2[[#This Row],[Serial Number]])</f>
        <v>2XBB6EY36RA001016</v>
      </c>
      <c r="D6" t="s">
        <v>263</v>
      </c>
      <c r="E6" s="1">
        <v>44911</v>
      </c>
      <c r="F6" t="s">
        <v>264</v>
      </c>
      <c r="G6" t="s">
        <v>514</v>
      </c>
      <c r="H6" t="s">
        <v>535</v>
      </c>
    </row>
    <row r="7" spans="1:8">
      <c r="A7">
        <v>26460</v>
      </c>
      <c r="B7" s="2">
        <v>10015952</v>
      </c>
      <c r="C7" s="2" t="str">
        <f>IF(LEN(Table2[[#This Row],[Serial Number]]) &gt; 4, RIGHT(LEFT(Table2[[#This Row],[Special Instructions]], FIND("VIN CHANGE", Table2[[#This Row],[Special Instructions]]) + 28), 17), Table2[[#This Row],[Serial Number]])</f>
        <v>2B9B6EW22PA001198</v>
      </c>
      <c r="D7" t="s">
        <v>103</v>
      </c>
      <c r="E7" s="1">
        <v>44848</v>
      </c>
      <c r="F7" t="s">
        <v>104</v>
      </c>
      <c r="G7" t="s">
        <v>516</v>
      </c>
      <c r="H7" t="s">
        <v>536</v>
      </c>
    </row>
    <row r="8" spans="1:8">
      <c r="A8">
        <v>26483</v>
      </c>
      <c r="B8" s="2">
        <v>10015949</v>
      </c>
      <c r="C8" s="2" t="str">
        <f>IF(LEN(Table2[[#This Row],[Serial Number]]) &gt; 4, RIGHT(LEFT(Table2[[#This Row],[Special Instructions]], FIND("VIN CHANGE", Table2[[#This Row],[Special Instructions]]) + 28), 17), Table2[[#This Row],[Serial Number]])</f>
        <v>2B9B2TR39PA001185</v>
      </c>
      <c r="D8" t="s">
        <v>87</v>
      </c>
      <c r="E8" s="1">
        <v>44851</v>
      </c>
      <c r="F8" t="s">
        <v>88</v>
      </c>
      <c r="G8" t="s">
        <v>516</v>
      </c>
      <c r="H8" t="s">
        <v>537</v>
      </c>
    </row>
    <row r="9" spans="1:8">
      <c r="A9">
        <v>26484</v>
      </c>
      <c r="B9" s="2">
        <v>10015950</v>
      </c>
      <c r="C9" s="2" t="str">
        <f>IF(LEN(Table2[[#This Row],[Serial Number]]) &gt; 4, RIGHT(LEFT(Table2[[#This Row],[Special Instructions]], FIND("VIN CHANGE", Table2[[#This Row],[Special Instructions]]) + 28), 17), Table2[[#This Row],[Serial Number]])</f>
        <v>2B9B2TR30PA001186</v>
      </c>
      <c r="D9" t="s">
        <v>93</v>
      </c>
      <c r="E9" s="1">
        <v>44852</v>
      </c>
      <c r="F9" t="s">
        <v>94</v>
      </c>
      <c r="G9" t="s">
        <v>516</v>
      </c>
      <c r="H9" t="s">
        <v>537</v>
      </c>
    </row>
    <row r="10" spans="1:8">
      <c r="A10">
        <v>26485</v>
      </c>
      <c r="B10" s="2">
        <v>10015951</v>
      </c>
      <c r="C10" s="2" t="str">
        <f>IF(LEN(Table2[[#This Row],[Serial Number]]) &gt; 4, RIGHT(LEFT(Table2[[#This Row],[Special Instructions]], FIND("VIN CHANGE", Table2[[#This Row],[Special Instructions]]) + 28), 17), Table2[[#This Row],[Serial Number]])</f>
        <v>2B9B2TR32PA001187</v>
      </c>
      <c r="D10" t="s">
        <v>101</v>
      </c>
      <c r="E10" s="1">
        <v>44879</v>
      </c>
      <c r="F10" t="s">
        <v>102</v>
      </c>
      <c r="G10" t="s">
        <v>516</v>
      </c>
      <c r="H10" t="s">
        <v>537</v>
      </c>
    </row>
    <row r="11" spans="1:8">
      <c r="A11">
        <v>26486</v>
      </c>
      <c r="B11" s="2">
        <v>10015989</v>
      </c>
      <c r="C11" s="2" t="str">
        <f>IF(LEN(Table2[[#This Row],[Serial Number]]) &gt; 4, RIGHT(LEFT(Table2[[#This Row],[Special Instructions]], FIND("VIN CHANGE", Table2[[#This Row],[Special Instructions]]) + 28), 17), Table2[[#This Row],[Serial Number]])</f>
        <v>2B9B2TR36PA001189</v>
      </c>
      <c r="D11" t="s">
        <v>83</v>
      </c>
      <c r="E11" s="1">
        <v>44875</v>
      </c>
      <c r="F11" t="s">
        <v>84</v>
      </c>
      <c r="G11" t="s">
        <v>516</v>
      </c>
      <c r="H11" t="s">
        <v>538</v>
      </c>
    </row>
    <row r="12" spans="1:8">
      <c r="A12">
        <v>26487</v>
      </c>
      <c r="B12" s="2">
        <v>10015990</v>
      </c>
      <c r="C12" s="2" t="str">
        <f>IF(LEN(Table2[[#This Row],[Serial Number]]) &gt; 4, RIGHT(LEFT(Table2[[#This Row],[Special Instructions]], FIND("VIN CHANGE", Table2[[#This Row],[Special Instructions]]) + 28), 17), Table2[[#This Row],[Serial Number]])</f>
        <v>2B9B2TR32PA001190</v>
      </c>
      <c r="D12" t="s">
        <v>99</v>
      </c>
      <c r="E12" s="1">
        <v>44875</v>
      </c>
      <c r="F12" t="s">
        <v>100</v>
      </c>
      <c r="G12" t="s">
        <v>516</v>
      </c>
      <c r="H12" t="s">
        <v>538</v>
      </c>
    </row>
    <row r="13" spans="1:8">
      <c r="A13">
        <v>26488</v>
      </c>
      <c r="B13" s="2">
        <v>10015991</v>
      </c>
      <c r="C13" s="2" t="str">
        <f>IF(LEN(Table2[[#This Row],[Serial Number]]) &gt; 4, RIGHT(LEFT(Table2[[#This Row],[Special Instructions]], FIND("VIN CHANGE", Table2[[#This Row],[Special Instructions]]) + 28), 17), Table2[[#This Row],[Serial Number]])</f>
        <v>2B9B2TR34PA001191</v>
      </c>
      <c r="D13" t="s">
        <v>89</v>
      </c>
      <c r="E13" s="1">
        <v>44879</v>
      </c>
      <c r="F13" t="s">
        <v>90</v>
      </c>
      <c r="G13" t="s">
        <v>516</v>
      </c>
      <c r="H13" t="s">
        <v>538</v>
      </c>
    </row>
    <row r="14" spans="1:8">
      <c r="A14">
        <v>26489</v>
      </c>
      <c r="B14" s="2">
        <v>10016002</v>
      </c>
      <c r="C14" s="2" t="str">
        <f>IF(LEN(Table2[[#This Row],[Serial Number]]) &gt; 4, RIGHT(LEFT(Table2[[#This Row],[Special Instructions]], FIND("VIN CHANGE", Table2[[#This Row],[Special Instructions]]) + 28), 17), Table2[[#This Row],[Serial Number]])</f>
        <v>2B9B6EY36PA001193</v>
      </c>
      <c r="D14" t="s">
        <v>85</v>
      </c>
      <c r="E14" s="1">
        <v>44894</v>
      </c>
      <c r="F14" t="s">
        <v>86</v>
      </c>
      <c r="G14" t="s">
        <v>516</v>
      </c>
      <c r="H14" t="s">
        <v>539</v>
      </c>
    </row>
    <row r="15" spans="1:8">
      <c r="A15">
        <v>26491</v>
      </c>
      <c r="B15" s="2">
        <v>10016045</v>
      </c>
      <c r="C15" s="2" t="str">
        <f>IF(LEN(Table2[[#This Row],[Serial Number]]) &gt; 4, RIGHT(LEFT(Table2[[#This Row],[Special Instructions]], FIND("VIN CHANGE", Table2[[#This Row],[Special Instructions]]) + 28), 17), Table2[[#This Row],[Serial Number]])</f>
        <v>2B9B2TP3XPA001196</v>
      </c>
      <c r="D15" t="s">
        <v>95</v>
      </c>
      <c r="E15" s="1">
        <v>44903</v>
      </c>
      <c r="F15" t="s">
        <v>96</v>
      </c>
      <c r="G15" t="s">
        <v>516</v>
      </c>
      <c r="H15" t="s">
        <v>540</v>
      </c>
    </row>
    <row r="16" spans="1:8">
      <c r="A16">
        <v>26492</v>
      </c>
      <c r="B16" s="2">
        <v>10016046</v>
      </c>
      <c r="C16" s="2" t="str">
        <f>IF(LEN(Table2[[#This Row],[Serial Number]]) &gt; 4, RIGHT(LEFT(Table2[[#This Row],[Special Instructions]], FIND("VIN CHANGE", Table2[[#This Row],[Special Instructions]]) + 28), 17), Table2[[#This Row],[Serial Number]])</f>
        <v>2B9B2TP31PA001197</v>
      </c>
      <c r="D16" t="s">
        <v>91</v>
      </c>
      <c r="E16" s="1">
        <v>44907</v>
      </c>
      <c r="F16" t="s">
        <v>92</v>
      </c>
      <c r="G16" t="s">
        <v>516</v>
      </c>
      <c r="H16" t="s">
        <v>540</v>
      </c>
    </row>
    <row r="17" spans="1:8">
      <c r="A17">
        <v>26496</v>
      </c>
      <c r="B17" s="2" t="s">
        <v>11</v>
      </c>
      <c r="C17" s="2" t="str">
        <f>IF(LEN(Table2[[#This Row],[Serial Number]]) &gt; 4, RIGHT(LEFT(Table2[[#This Row],[Special Instructions]], FIND("VIN CHANGE", Table2[[#This Row],[Special Instructions]]) + 28), 17), Table2[[#This Row],[Serial Number]])</f>
        <v>2B9B6EW27PA001200</v>
      </c>
      <c r="D17" t="s">
        <v>97</v>
      </c>
      <c r="E17" s="1">
        <v>44931</v>
      </c>
      <c r="F17" t="s">
        <v>98</v>
      </c>
      <c r="G17" t="s">
        <v>516</v>
      </c>
      <c r="H17" t="s">
        <v>536</v>
      </c>
    </row>
    <row r="18" spans="1:8">
      <c r="A18">
        <v>26614</v>
      </c>
      <c r="B18" s="2">
        <v>10015839</v>
      </c>
      <c r="C18" s="2" t="str">
        <f>IF(LEN(Table2[[#This Row],[Serial Number]]) &gt; 4, RIGHT(LEFT(Table2[[#This Row],[Special Instructions]], FIND("VIN CHANGE", Table2[[#This Row],[Special Instructions]]) + 28), 17), Table2[[#This Row],[Serial Number]])</f>
        <v>2B9B6GY38PA001241</v>
      </c>
      <c r="D18" t="s">
        <v>205</v>
      </c>
      <c r="E18" s="1">
        <v>44845</v>
      </c>
      <c r="F18" t="s">
        <v>206</v>
      </c>
      <c r="G18" t="s">
        <v>517</v>
      </c>
      <c r="H18" t="s">
        <v>541</v>
      </c>
    </row>
    <row r="19" spans="1:8">
      <c r="A19">
        <v>26634</v>
      </c>
      <c r="B19" s="2">
        <v>10015771</v>
      </c>
      <c r="C19" s="2" t="str">
        <f>IF(LEN(Table2[[#This Row],[Serial Number]]) &gt; 4, RIGHT(LEFT(Table2[[#This Row],[Special Instructions]], FIND("VIN CHANGE", Table2[[#This Row],[Special Instructions]]) + 28), 17), Table2[[#This Row],[Serial Number]])</f>
        <v>2B9B6EW27PA001231</v>
      </c>
      <c r="D19" t="s">
        <v>105</v>
      </c>
      <c r="E19" s="1">
        <v>44845</v>
      </c>
      <c r="F19" t="s">
        <v>106</v>
      </c>
      <c r="G19" t="s">
        <v>516</v>
      </c>
      <c r="H19" t="s">
        <v>542</v>
      </c>
    </row>
    <row r="20" spans="1:8">
      <c r="A20">
        <v>26643</v>
      </c>
      <c r="B20" s="2">
        <v>10015772</v>
      </c>
      <c r="C20" s="2" t="str">
        <f>IF(LEN(Table2[[#This Row],[Serial Number]]) &gt; 4, RIGHT(LEFT(Table2[[#This Row],[Special Instructions]], FIND("VIN CHANGE", Table2[[#This Row],[Special Instructions]]) + 28), 17), Table2[[#This Row],[Serial Number]])</f>
        <v>2B9B6EW29PA001232</v>
      </c>
      <c r="D20" t="s">
        <v>107</v>
      </c>
      <c r="E20" s="1">
        <v>44853</v>
      </c>
      <c r="F20" t="s">
        <v>108</v>
      </c>
      <c r="G20" t="s">
        <v>516</v>
      </c>
      <c r="H20" t="s">
        <v>542</v>
      </c>
    </row>
    <row r="21" spans="1:8">
      <c r="A21">
        <v>26661</v>
      </c>
      <c r="B21" s="2">
        <v>10015866</v>
      </c>
      <c r="C21" s="2" t="str">
        <f>IF(LEN(Table2[[#This Row],[Serial Number]]) &gt; 4, RIGHT(LEFT(Table2[[#This Row],[Special Instructions]], FIND("VIN CHANGE", Table2[[#This Row],[Special Instructions]]) + 28), 17), Table2[[#This Row],[Serial Number]])</f>
        <v>2B9B6EY43PA001368</v>
      </c>
      <c r="D21" t="s">
        <v>45</v>
      </c>
      <c r="E21" s="1">
        <v>44868</v>
      </c>
      <c r="F21" t="s">
        <v>46</v>
      </c>
      <c r="G21" t="s">
        <v>518</v>
      </c>
      <c r="H21" t="s">
        <v>543</v>
      </c>
    </row>
    <row r="22" spans="1:8">
      <c r="A22">
        <v>26662</v>
      </c>
      <c r="B22" s="2">
        <v>10016057</v>
      </c>
      <c r="C22" s="2" t="str">
        <f>IF(LEN(Table2[[#This Row],[Serial Number]]) &gt; 4, RIGHT(LEFT(Table2[[#This Row],[Special Instructions]], FIND("VIN CHANGE", Table2[[#This Row],[Special Instructions]]) + 28), 17), Table2[[#This Row],[Serial Number]])</f>
        <v>2B9B6EY43PA001371</v>
      </c>
      <c r="D22" t="s">
        <v>47</v>
      </c>
      <c r="E22" s="1">
        <v>44911</v>
      </c>
      <c r="F22" t="s">
        <v>48</v>
      </c>
      <c r="G22" t="s">
        <v>518</v>
      </c>
      <c r="H22" t="s">
        <v>543</v>
      </c>
    </row>
    <row r="23" spans="1:8">
      <c r="A23">
        <v>26689</v>
      </c>
      <c r="B23" s="2">
        <v>10015900</v>
      </c>
      <c r="C23" s="2" t="str">
        <f>IF(LEN(Table2[[#This Row],[Serial Number]]) &gt; 4, RIGHT(LEFT(Table2[[#This Row],[Special Instructions]], FIND("VIN CHANGE", Table2[[#This Row],[Special Instructions]]) + 28), 17), Table2[[#This Row],[Serial Number]])</f>
        <v>2B9B6GY32PA001266</v>
      </c>
      <c r="D23" t="s">
        <v>303</v>
      </c>
      <c r="E23" s="1">
        <v>44859</v>
      </c>
      <c r="F23" t="s">
        <v>304</v>
      </c>
      <c r="G23" t="s">
        <v>518</v>
      </c>
      <c r="H23" t="s">
        <v>541</v>
      </c>
    </row>
    <row r="24" spans="1:8">
      <c r="A24">
        <v>26715</v>
      </c>
      <c r="B24" s="2">
        <v>10015714</v>
      </c>
      <c r="C24" s="2" t="str">
        <f>IF(LEN(Table2[[#This Row],[Serial Number]]) &gt; 4, RIGHT(LEFT(Table2[[#This Row],[Special Instructions]], FIND("VIN CHANGE", Table2[[#This Row],[Special Instructions]]) + 28), 17), Table2[[#This Row],[Serial Number]])</f>
        <v>2XBB6FY39PA001966</v>
      </c>
      <c r="D24" t="s">
        <v>267</v>
      </c>
      <c r="E24" s="1">
        <v>44879</v>
      </c>
      <c r="F24" t="s">
        <v>268</v>
      </c>
      <c r="G24" t="s">
        <v>514</v>
      </c>
      <c r="H24" t="s">
        <v>544</v>
      </c>
    </row>
    <row r="25" spans="1:8">
      <c r="A25">
        <v>26748</v>
      </c>
      <c r="B25" s="2">
        <v>10015694</v>
      </c>
      <c r="C25" s="2" t="str">
        <f>IF(LEN(Table2[[#This Row],[Serial Number]]) &gt; 4, RIGHT(LEFT(Table2[[#This Row],[Special Instructions]], FIND("VIN CHANGE", Table2[[#This Row],[Special Instructions]]) + 28), 17), Table2[[#This Row],[Serial Number]])</f>
        <v>2B9B6GX23PA001236</v>
      </c>
      <c r="D25" t="s">
        <v>59</v>
      </c>
      <c r="E25" s="1">
        <v>44839</v>
      </c>
      <c r="F25" t="s">
        <v>60</v>
      </c>
      <c r="G25" t="s">
        <v>519</v>
      </c>
      <c r="H25" t="s">
        <v>545</v>
      </c>
    </row>
    <row r="26" spans="1:8">
      <c r="A26">
        <v>26749</v>
      </c>
      <c r="B26" s="2">
        <v>10015725</v>
      </c>
      <c r="C26" s="2" t="str">
        <f>IF(LEN(Table2[[#This Row],[Serial Number]]) &gt; 4, RIGHT(LEFT(Table2[[#This Row],[Special Instructions]], FIND("VIN CHANGE", Table2[[#This Row],[Special Instructions]]) + 28), 17), Table2[[#This Row],[Serial Number]])</f>
        <v>2B9B6GY29PA001238</v>
      </c>
      <c r="D26" t="s">
        <v>61</v>
      </c>
      <c r="E26" s="1">
        <v>44852</v>
      </c>
      <c r="F26" t="s">
        <v>62</v>
      </c>
      <c r="G26" t="s">
        <v>519</v>
      </c>
      <c r="H26" t="s">
        <v>546</v>
      </c>
    </row>
    <row r="27" spans="1:8">
      <c r="A27">
        <v>26761</v>
      </c>
      <c r="B27" s="2">
        <v>10015835</v>
      </c>
      <c r="C27" s="2" t="str">
        <f>IF(LEN(Table2[[#This Row],[Serial Number]]) &gt; 4, RIGHT(LEFT(Table2[[#This Row],[Special Instructions]], FIND("VIN CHANGE", Table2[[#This Row],[Special Instructions]]) + 28), 17), Table2[[#This Row],[Serial Number]])</f>
        <v>2B9B6GY36PA001240</v>
      </c>
      <c r="D27" t="s">
        <v>219</v>
      </c>
      <c r="E27" s="1">
        <v>44837</v>
      </c>
      <c r="F27" t="s">
        <v>220</v>
      </c>
      <c r="G27" t="s">
        <v>517</v>
      </c>
      <c r="H27" t="s">
        <v>541</v>
      </c>
    </row>
    <row r="28" spans="1:8">
      <c r="A28">
        <v>26762</v>
      </c>
      <c r="B28" s="2">
        <v>10015840</v>
      </c>
      <c r="C28" s="2" t="str">
        <f>IF(LEN(Table2[[#This Row],[Serial Number]]) &gt; 4, RIGHT(LEFT(Table2[[#This Row],[Special Instructions]], FIND("VIN CHANGE", Table2[[#This Row],[Special Instructions]]) + 28), 17), Table2[[#This Row],[Serial Number]])</f>
        <v>2B9B6GY3XPA001242</v>
      </c>
      <c r="D28" t="s">
        <v>221</v>
      </c>
      <c r="E28" s="1">
        <v>44852</v>
      </c>
      <c r="F28" t="s">
        <v>222</v>
      </c>
      <c r="G28" t="s">
        <v>517</v>
      </c>
      <c r="H28" t="s">
        <v>541</v>
      </c>
    </row>
    <row r="29" spans="1:8">
      <c r="A29">
        <v>26780</v>
      </c>
      <c r="B29" s="2">
        <v>10015752</v>
      </c>
      <c r="C29" s="2" t="str">
        <f>IF(LEN(Table2[[#This Row],[Serial Number]]) &gt; 4, RIGHT(LEFT(Table2[[#This Row],[Special Instructions]], FIND("VIN CHANGE", Table2[[#This Row],[Special Instructions]]) + 28), 17), Table2[[#This Row],[Serial Number]])</f>
        <v>2B9B6EY35PA001248</v>
      </c>
      <c r="D29" t="s">
        <v>167</v>
      </c>
      <c r="E29" s="1">
        <v>44839</v>
      </c>
      <c r="F29" t="s">
        <v>168</v>
      </c>
      <c r="G29" t="s">
        <v>518</v>
      </c>
      <c r="H29" t="s">
        <v>535</v>
      </c>
    </row>
    <row r="30" spans="1:8">
      <c r="A30">
        <v>26782</v>
      </c>
      <c r="B30" s="2">
        <v>10015754</v>
      </c>
      <c r="C30" s="2" t="str">
        <f>IF(LEN(Table2[[#This Row],[Serial Number]]) &gt; 4, RIGHT(LEFT(Table2[[#This Row],[Special Instructions]], FIND("VIN CHANGE", Table2[[#This Row],[Special Instructions]]) + 28), 17), Table2[[#This Row],[Serial Number]])</f>
        <v>2B9B6EY33PA001250</v>
      </c>
      <c r="D30" t="s">
        <v>171</v>
      </c>
      <c r="E30" s="1">
        <v>44917</v>
      </c>
      <c r="F30" t="s">
        <v>172</v>
      </c>
      <c r="G30" t="s">
        <v>518</v>
      </c>
      <c r="H30" t="s">
        <v>535</v>
      </c>
    </row>
    <row r="31" spans="1:8">
      <c r="A31">
        <v>26783</v>
      </c>
      <c r="B31" s="2">
        <v>10015755</v>
      </c>
      <c r="C31" s="2" t="str">
        <f>IF(LEN(Table2[[#This Row],[Serial Number]]) &gt; 4, RIGHT(LEFT(Table2[[#This Row],[Special Instructions]], FIND("VIN CHANGE", Table2[[#This Row],[Special Instructions]]) + 28), 17), Table2[[#This Row],[Serial Number]])</f>
        <v>2B9B6EY35PA001251</v>
      </c>
      <c r="D31" t="s">
        <v>173</v>
      </c>
      <c r="E31" s="1">
        <v>44860</v>
      </c>
      <c r="F31" t="s">
        <v>174</v>
      </c>
      <c r="G31" t="s">
        <v>518</v>
      </c>
      <c r="H31" t="s">
        <v>535</v>
      </c>
    </row>
    <row r="32" spans="1:8">
      <c r="A32">
        <v>26796</v>
      </c>
      <c r="B32" s="2">
        <v>10015899</v>
      </c>
      <c r="C32" s="2" t="str">
        <f>IF(LEN(Table2[[#This Row],[Serial Number]]) &gt; 4, RIGHT(LEFT(Table2[[#This Row],[Special Instructions]], FIND("VIN CHANGE", Table2[[#This Row],[Special Instructions]]) + 28), 17), Table2[[#This Row],[Serial Number]])</f>
        <v>2B9B6GY30PA001265</v>
      </c>
      <c r="D32" t="s">
        <v>305</v>
      </c>
      <c r="E32" s="1">
        <v>44866</v>
      </c>
      <c r="F32" t="s">
        <v>306</v>
      </c>
      <c r="G32" t="s">
        <v>518</v>
      </c>
      <c r="H32" t="s">
        <v>547</v>
      </c>
    </row>
    <row r="33" spans="1:8">
      <c r="A33">
        <v>26797</v>
      </c>
      <c r="B33" s="2">
        <v>10015867</v>
      </c>
      <c r="C33" s="2" t="str">
        <f>IF(LEN(Table2[[#This Row],[Serial Number]]) &gt; 4, RIGHT(LEFT(Table2[[#This Row],[Special Instructions]], FIND("VIN CHANGE", Table2[[#This Row],[Special Instructions]]) + 28), 17), Table2[[#This Row],[Serial Number]])</f>
        <v>2B9B6EY40PA001375</v>
      </c>
      <c r="D33" t="s">
        <v>51</v>
      </c>
      <c r="E33" s="1">
        <v>44902</v>
      </c>
      <c r="F33" t="s">
        <v>52</v>
      </c>
      <c r="G33" t="s">
        <v>518</v>
      </c>
      <c r="H33" t="s">
        <v>543</v>
      </c>
    </row>
    <row r="34" spans="1:8">
      <c r="A34">
        <v>26798</v>
      </c>
      <c r="B34" s="2" t="s">
        <v>11</v>
      </c>
      <c r="C34" s="2" t="str">
        <f>IF(LEN(Table2[[#This Row],[Serial Number]]) &gt; 4, RIGHT(LEFT(Table2[[#This Row],[Special Instructions]], FIND("VIN CHANGE", Table2[[#This Row],[Special Instructions]]) + 28), 17), Table2[[#This Row],[Serial Number]])</f>
        <v>2B9B6EY45PA001372</v>
      </c>
      <c r="D34" t="s">
        <v>53</v>
      </c>
      <c r="E34" s="1">
        <v>44936</v>
      </c>
      <c r="F34" t="s">
        <v>54</v>
      </c>
      <c r="G34" t="s">
        <v>518</v>
      </c>
      <c r="H34" t="s">
        <v>543</v>
      </c>
    </row>
    <row r="35" spans="1:8">
      <c r="A35">
        <v>26909</v>
      </c>
      <c r="B35" s="2">
        <v>10015883</v>
      </c>
      <c r="C35" s="2" t="str">
        <f>IF(LEN(Table2[[#This Row],[Serial Number]]) &gt; 4, RIGHT(LEFT(Table2[[#This Row],[Special Instructions]], FIND("VIN CHANGE", Table2[[#This Row],[Special Instructions]]) + 28), 17), Table2[[#This Row],[Serial Number]])</f>
        <v>2B9B6EY35PA001329</v>
      </c>
      <c r="D35" t="s">
        <v>301</v>
      </c>
      <c r="E35" s="1">
        <v>44868</v>
      </c>
      <c r="F35" t="s">
        <v>302</v>
      </c>
      <c r="G35" t="s">
        <v>520</v>
      </c>
      <c r="H35" t="s">
        <v>539</v>
      </c>
    </row>
    <row r="36" spans="1:8">
      <c r="A36">
        <v>26915</v>
      </c>
      <c r="B36" s="2">
        <v>10016080</v>
      </c>
      <c r="C36" s="2" t="str">
        <f>IF(LEN(Table2[[#This Row],[Serial Number]]) &gt; 4, RIGHT(LEFT(Table2[[#This Row],[Special Instructions]], FIND("VIN CHANGE", Table2[[#This Row],[Special Instructions]]) + 28), 17), Table2[[#This Row],[Serial Number]])</f>
        <v>2B9B6EY34PA001337</v>
      </c>
      <c r="D36" t="s">
        <v>225</v>
      </c>
      <c r="E36" s="1">
        <v>44918</v>
      </c>
      <c r="F36" t="s">
        <v>226</v>
      </c>
      <c r="G36" t="s">
        <v>521</v>
      </c>
      <c r="H36" t="s">
        <v>535</v>
      </c>
    </row>
    <row r="37" spans="1:8">
      <c r="A37">
        <v>26917</v>
      </c>
      <c r="B37" s="2">
        <v>10015924</v>
      </c>
      <c r="C37" s="2" t="str">
        <f>IF(LEN(Table2[[#This Row],[Serial Number]]) &gt; 4, RIGHT(LEFT(Table2[[#This Row],[Special Instructions]], FIND("VIN CHANGE", Table2[[#This Row],[Special Instructions]]) + 28), 17), Table2[[#This Row],[Serial Number]])</f>
        <v>2B9B6EY30PA001335</v>
      </c>
      <c r="D37" t="s">
        <v>253</v>
      </c>
      <c r="E37" s="1">
        <v>44860</v>
      </c>
      <c r="F37" t="s">
        <v>254</v>
      </c>
      <c r="G37" t="s">
        <v>521</v>
      </c>
      <c r="H37" t="s">
        <v>539</v>
      </c>
    </row>
    <row r="38" spans="1:8">
      <c r="A38">
        <v>26925</v>
      </c>
      <c r="B38" s="2">
        <v>10015715</v>
      </c>
      <c r="C38" s="2" t="str">
        <f>IF(LEN(Table2[[#This Row],[Serial Number]]) &gt; 4, RIGHT(LEFT(Table2[[#This Row],[Special Instructions]], FIND("VIN CHANGE", Table2[[#This Row],[Special Instructions]]) + 28), 17), Table2[[#This Row],[Serial Number]])</f>
        <v>2XBB6FY30PA001967</v>
      </c>
      <c r="D38" t="s">
        <v>265</v>
      </c>
      <c r="E38" s="1">
        <v>44883</v>
      </c>
      <c r="F38" t="s">
        <v>266</v>
      </c>
      <c r="G38" t="s">
        <v>514</v>
      </c>
      <c r="H38" t="s">
        <v>544</v>
      </c>
    </row>
    <row r="39" spans="1:8">
      <c r="A39">
        <v>26926</v>
      </c>
      <c r="B39" s="2">
        <v>10015930</v>
      </c>
      <c r="C39" s="2" t="str">
        <f>IF(LEN(Table2[[#This Row],[Serial Number]]) &gt; 4, RIGHT(LEFT(Table2[[#This Row],[Special Instructions]], FIND("VIN CHANGE", Table2[[#This Row],[Special Instructions]]) + 28), 17), Table2[[#This Row],[Serial Number]])</f>
        <v>2B9B6EY32PA001336</v>
      </c>
      <c r="D39" t="s">
        <v>261</v>
      </c>
      <c r="E39" s="1">
        <v>44889</v>
      </c>
      <c r="F39" t="s">
        <v>262</v>
      </c>
      <c r="G39" t="s">
        <v>521</v>
      </c>
      <c r="H39" t="s">
        <v>539</v>
      </c>
    </row>
    <row r="40" spans="1:8">
      <c r="A40">
        <v>26927</v>
      </c>
      <c r="B40" s="2">
        <v>10015868</v>
      </c>
      <c r="C40" s="2" t="str">
        <f>IF(LEN(Table2[[#This Row],[Serial Number]]) &gt; 4, RIGHT(LEFT(Table2[[#This Row],[Special Instructions]], FIND("VIN CHANGE", Table2[[#This Row],[Special Instructions]]) + 28), 17), Table2[[#This Row],[Serial Number]])</f>
        <v>2B9B6EY36PA001338</v>
      </c>
      <c r="D40" t="s">
        <v>255</v>
      </c>
      <c r="E40" s="1">
        <v>44840</v>
      </c>
      <c r="F40" t="s">
        <v>256</v>
      </c>
      <c r="G40" t="s">
        <v>521</v>
      </c>
      <c r="H40" t="s">
        <v>535</v>
      </c>
    </row>
    <row r="41" spans="1:8">
      <c r="A41">
        <v>26947</v>
      </c>
      <c r="B41" s="2" t="s">
        <v>11</v>
      </c>
      <c r="C41" s="2" t="str">
        <f>IF(LEN(Table2[[#This Row],[Serial Number]]) &gt; 4, RIGHT(LEFT(Table2[[#This Row],[Special Instructions]], FIND("VIN CHANGE", Table2[[#This Row],[Special Instructions]]) + 28), 17), Table2[[#This Row],[Serial Number]])</f>
        <v>2B9B6EY38PA001390</v>
      </c>
      <c r="D41" t="s">
        <v>10</v>
      </c>
      <c r="E41" s="1">
        <v>44951</v>
      </c>
      <c r="F41" t="s">
        <v>12</v>
      </c>
      <c r="G41" t="s">
        <v>521</v>
      </c>
      <c r="H41" t="s">
        <v>535</v>
      </c>
    </row>
    <row r="42" spans="1:8">
      <c r="A42">
        <v>26982</v>
      </c>
      <c r="B42" s="2">
        <v>10016064</v>
      </c>
      <c r="C42" s="2" t="str">
        <f>IF(LEN(Table2[[#This Row],[Serial Number]]) &gt; 4, RIGHT(LEFT(Table2[[#This Row],[Special Instructions]], FIND("VIN CHANGE", Table2[[#This Row],[Special Instructions]]) + 28), 17), Table2[[#This Row],[Serial Number]])</f>
        <v>2B9B6HT38PA001852</v>
      </c>
      <c r="D42" t="s">
        <v>379</v>
      </c>
      <c r="E42" s="1">
        <v>44896</v>
      </c>
      <c r="F42" t="s">
        <v>380</v>
      </c>
      <c r="G42" t="s">
        <v>522</v>
      </c>
      <c r="H42" t="s">
        <v>548</v>
      </c>
    </row>
    <row r="43" spans="1:8">
      <c r="A43">
        <v>27005</v>
      </c>
      <c r="B43" s="2">
        <v>10015959</v>
      </c>
      <c r="C43" s="2" t="str">
        <f>IF(LEN(Table2[[#This Row],[Serial Number]]) &gt; 4, RIGHT(LEFT(Table2[[#This Row],[Special Instructions]], FIND("VIN CHANGE", Table2[[#This Row],[Special Instructions]]) + 28), 17), Table2[[#This Row],[Serial Number]])</f>
        <v>2B9B6GW24PA001408</v>
      </c>
      <c r="D43" t="s">
        <v>63</v>
      </c>
      <c r="E43" s="1">
        <v>44883</v>
      </c>
      <c r="F43" t="s">
        <v>64</v>
      </c>
      <c r="G43" t="s">
        <v>519</v>
      </c>
      <c r="H43" t="s">
        <v>549</v>
      </c>
    </row>
    <row r="44" spans="1:8">
      <c r="A44">
        <v>27007</v>
      </c>
      <c r="B44" s="2">
        <v>10015960</v>
      </c>
      <c r="C44" s="2" t="str">
        <f>IF(LEN(Table2[[#This Row],[Serial Number]]) &gt; 4, RIGHT(LEFT(Table2[[#This Row],[Special Instructions]], FIND("VIN CHANGE", Table2[[#This Row],[Special Instructions]]) + 28), 17), Table2[[#This Row],[Serial Number]])</f>
        <v>2B9B6GW26PA001409</v>
      </c>
      <c r="D44" t="s">
        <v>65</v>
      </c>
      <c r="E44" s="1">
        <v>44889</v>
      </c>
      <c r="F44" t="s">
        <v>66</v>
      </c>
      <c r="G44" t="s">
        <v>519</v>
      </c>
      <c r="H44" t="s">
        <v>549</v>
      </c>
    </row>
    <row r="45" spans="1:8">
      <c r="A45">
        <v>27013</v>
      </c>
      <c r="B45" s="2">
        <v>10015719</v>
      </c>
      <c r="C45" s="2" t="str">
        <f>IF(LEN(Table2[[#This Row],[Serial Number]]) &gt; 4, RIGHT(LEFT(Table2[[#This Row],[Special Instructions]], FIND("VIN CHANGE", Table2[[#This Row],[Special Instructions]]) + 28), 17), Table2[[#This Row],[Serial Number]])</f>
        <v>2B9B6FW47PA001415</v>
      </c>
      <c r="D45" t="s">
        <v>155</v>
      </c>
      <c r="E45" s="1">
        <v>44960</v>
      </c>
      <c r="F45" t="s">
        <v>156</v>
      </c>
      <c r="G45" t="s">
        <v>523</v>
      </c>
      <c r="H45" t="s">
        <v>550</v>
      </c>
    </row>
    <row r="46" spans="1:8">
      <c r="A46">
        <v>27014</v>
      </c>
      <c r="B46" s="2">
        <v>10015720</v>
      </c>
      <c r="C46" s="2" t="str">
        <f>IF(LEN(Table2[[#This Row],[Serial Number]]) &gt; 4, RIGHT(LEFT(Table2[[#This Row],[Special Instructions]], FIND("VIN CHANGE", Table2[[#This Row],[Special Instructions]]) + 28), 17), Table2[[#This Row],[Serial Number]])</f>
        <v>2B9B6FW49PA001416</v>
      </c>
      <c r="D46" t="s">
        <v>159</v>
      </c>
      <c r="E46" s="1">
        <v>44967</v>
      </c>
      <c r="F46" t="s">
        <v>160</v>
      </c>
      <c r="G46" t="s">
        <v>523</v>
      </c>
      <c r="H46" t="s">
        <v>550</v>
      </c>
    </row>
    <row r="47" spans="1:8">
      <c r="A47">
        <v>27015</v>
      </c>
      <c r="B47" s="2">
        <v>10015721</v>
      </c>
      <c r="C47" s="2" t="str">
        <f>IF(LEN(Table2[[#This Row],[Serial Number]]) &gt; 4, RIGHT(LEFT(Table2[[#This Row],[Special Instructions]], FIND("VIN CHANGE", Table2[[#This Row],[Special Instructions]]) + 28), 17), Table2[[#This Row],[Serial Number]])</f>
        <v>2B9B6FW40PA001417</v>
      </c>
      <c r="D47" t="s">
        <v>157</v>
      </c>
      <c r="E47" s="1">
        <v>44974</v>
      </c>
      <c r="F47" t="s">
        <v>158</v>
      </c>
      <c r="G47" t="s">
        <v>523</v>
      </c>
      <c r="H47" t="s">
        <v>550</v>
      </c>
    </row>
    <row r="48" spans="1:8">
      <c r="A48">
        <v>27017</v>
      </c>
      <c r="B48" s="2">
        <v>10015750</v>
      </c>
      <c r="C48" s="2" t="str">
        <f>IF(LEN(Table2[[#This Row],[Serial Number]]) &gt; 4, RIGHT(LEFT(Table2[[#This Row],[Special Instructions]], FIND("VIN CHANGE", Table2[[#This Row],[Special Instructions]]) + 28), 17), Table2[[#This Row],[Serial Number]])</f>
        <v>2B9B6EY32PA001420</v>
      </c>
      <c r="D48" t="s">
        <v>151</v>
      </c>
      <c r="E48" s="1">
        <v>44839</v>
      </c>
      <c r="F48" t="s">
        <v>152</v>
      </c>
      <c r="G48" t="s">
        <v>523</v>
      </c>
      <c r="H48" t="s">
        <v>535</v>
      </c>
    </row>
    <row r="49" spans="1:8">
      <c r="A49">
        <v>27018</v>
      </c>
      <c r="B49" s="2">
        <v>10015885</v>
      </c>
      <c r="C49" s="2" t="str">
        <f>IF(LEN(Table2[[#This Row],[Serial Number]]) &gt; 4, RIGHT(LEFT(Table2[[#This Row],[Special Instructions]], FIND("VIN CHANGE", Table2[[#This Row],[Special Instructions]]) + 28), 17), Table2[[#This Row],[Serial Number]])</f>
        <v>2B9B6EY36PA001422</v>
      </c>
      <c r="D49" t="s">
        <v>17</v>
      </c>
      <c r="E49" s="1">
        <v>44848</v>
      </c>
      <c r="F49" t="s">
        <v>18</v>
      </c>
      <c r="G49" t="s">
        <v>523</v>
      </c>
      <c r="H49" t="s">
        <v>539</v>
      </c>
    </row>
    <row r="50" spans="1:8">
      <c r="A50">
        <v>27019</v>
      </c>
      <c r="B50" s="2">
        <v>10015901</v>
      </c>
      <c r="C50" s="2" t="str">
        <f>IF(LEN(Table2[[#This Row],[Serial Number]]) &gt; 4, RIGHT(LEFT(Table2[[#This Row],[Special Instructions]], FIND("VIN CHANGE", Table2[[#This Row],[Special Instructions]]) + 28), 17), Table2[[#This Row],[Serial Number]])</f>
        <v>2B9B6EY3XPA001424</v>
      </c>
      <c r="D50" t="s">
        <v>153</v>
      </c>
      <c r="E50" s="1">
        <v>44858</v>
      </c>
      <c r="F50" t="s">
        <v>154</v>
      </c>
      <c r="G50" t="s">
        <v>523</v>
      </c>
      <c r="H50" t="s">
        <v>539</v>
      </c>
    </row>
    <row r="51" spans="1:8">
      <c r="A51">
        <v>27020</v>
      </c>
      <c r="B51" s="2">
        <v>10015730</v>
      </c>
      <c r="C51" s="2" t="str">
        <f>IF(LEN(Table2[[#This Row],[Serial Number]]) &gt; 4, RIGHT(LEFT(Table2[[#This Row],[Special Instructions]], FIND("VIN CHANGE", Table2[[#This Row],[Special Instructions]]) + 28), 17), Table2[[#This Row],[Serial Number]])</f>
        <v>2B9B6EY33PA001426</v>
      </c>
      <c r="D51" t="s">
        <v>15</v>
      </c>
      <c r="E51" s="1">
        <v>44952</v>
      </c>
      <c r="F51" t="s">
        <v>16</v>
      </c>
      <c r="G51" t="s">
        <v>523</v>
      </c>
      <c r="H51" t="s">
        <v>535</v>
      </c>
    </row>
    <row r="52" spans="1:8">
      <c r="A52">
        <v>27085</v>
      </c>
      <c r="B52" s="2">
        <v>10015751</v>
      </c>
      <c r="C52" s="2" t="str">
        <f>IF(LEN(Table2[[#This Row],[Serial Number]]) &gt; 4, RIGHT(LEFT(Table2[[#This Row],[Special Instructions]], FIND("VIN CHANGE", Table2[[#This Row],[Special Instructions]]) + 28), 17), Table2[[#This Row],[Serial Number]])</f>
        <v>2B9B6EY39PA001446</v>
      </c>
      <c r="D52" t="s">
        <v>19</v>
      </c>
      <c r="E52" s="1">
        <v>44897</v>
      </c>
      <c r="F52" t="s">
        <v>20</v>
      </c>
      <c r="G52" t="s">
        <v>523</v>
      </c>
      <c r="H52" t="s">
        <v>535</v>
      </c>
    </row>
    <row r="53" spans="1:8">
      <c r="A53">
        <v>27107</v>
      </c>
      <c r="B53" s="2" t="s">
        <v>11</v>
      </c>
      <c r="C53" s="2" t="str">
        <f>IF(LEN(Table2[[#This Row],[Serial Number]]) &gt; 4, RIGHT(LEFT(Table2[[#This Row],[Special Instructions]], FIND("VIN CHANGE", Table2[[#This Row],[Special Instructions]]) + 28), 17), Table2[[#This Row],[Serial Number]])</f>
        <v>2B9B6EY38PA001454</v>
      </c>
      <c r="D53" t="s">
        <v>257</v>
      </c>
      <c r="E53" s="1">
        <v>44970</v>
      </c>
      <c r="F53" t="s">
        <v>258</v>
      </c>
      <c r="G53" t="s">
        <v>521</v>
      </c>
      <c r="H53" t="s">
        <v>539</v>
      </c>
    </row>
    <row r="54" spans="1:8">
      <c r="A54">
        <v>27108</v>
      </c>
      <c r="B54" s="2" t="s">
        <v>11</v>
      </c>
      <c r="C54" s="2" t="str">
        <f>IF(LEN(Table2[[#This Row],[Serial Number]]) &gt; 4, RIGHT(LEFT(Table2[[#This Row],[Special Instructions]], FIND("VIN CHANGE", Table2[[#This Row],[Special Instructions]]) + 28), 17), Table2[[#This Row],[Serial Number]])</f>
        <v>2B9B6EY3XPA001455</v>
      </c>
      <c r="D54" t="s">
        <v>503</v>
      </c>
      <c r="E54" s="1">
        <v>44980</v>
      </c>
      <c r="F54" t="s">
        <v>504</v>
      </c>
      <c r="G54" t="s">
        <v>521</v>
      </c>
      <c r="H54" t="s">
        <v>535</v>
      </c>
    </row>
    <row r="55" spans="1:8">
      <c r="A55">
        <v>27193</v>
      </c>
      <c r="B55" s="2">
        <v>10015700</v>
      </c>
      <c r="C55" s="2" t="str">
        <f>IF(LEN(Table2[[#This Row],[Serial Number]]) &gt; 4, RIGHT(LEFT(Table2[[#This Row],[Special Instructions]], FIND("VIN CHANGE", Table2[[#This Row],[Special Instructions]]) + 28), 17), Table2[[#This Row],[Serial Number]])</f>
        <v>2B9B6GW21PA001513</v>
      </c>
      <c r="D55" t="s">
        <v>41</v>
      </c>
      <c r="E55" s="1">
        <v>44875</v>
      </c>
      <c r="F55" t="s">
        <v>42</v>
      </c>
      <c r="G55" t="s">
        <v>524</v>
      </c>
      <c r="H55" t="s">
        <v>551</v>
      </c>
    </row>
    <row r="56" spans="1:8">
      <c r="A56">
        <v>27198</v>
      </c>
      <c r="B56" s="2">
        <v>10015823</v>
      </c>
      <c r="C56" s="2" t="str">
        <f>IF(LEN(Table2[[#This Row],[Serial Number]]) &gt; 4, RIGHT(LEFT(Table2[[#This Row],[Special Instructions]], FIND("VIN CHANGE", Table2[[#This Row],[Special Instructions]]) + 28), 17), Table2[[#This Row],[Serial Number]])</f>
        <v>2B9B2TM2XPA001503</v>
      </c>
      <c r="D56" t="s">
        <v>31</v>
      </c>
      <c r="E56" s="1">
        <v>44860</v>
      </c>
      <c r="F56" t="s">
        <v>32</v>
      </c>
      <c r="G56" t="s">
        <v>524</v>
      </c>
      <c r="H56" t="s">
        <v>552</v>
      </c>
    </row>
    <row r="57" spans="1:8">
      <c r="A57">
        <v>27203</v>
      </c>
      <c r="B57" s="2">
        <v>10015803</v>
      </c>
      <c r="C57" s="2" t="str">
        <f>IF(LEN(Table2[[#This Row],[Serial Number]]) &gt; 4, RIGHT(LEFT(Table2[[#This Row],[Special Instructions]], FIND("VIN CHANGE", Table2[[#This Row],[Special Instructions]]) + 28), 17), Table2[[#This Row],[Serial Number]])</f>
        <v>2B9B2TN21PA001498</v>
      </c>
      <c r="D57" t="s">
        <v>33</v>
      </c>
      <c r="E57" s="1">
        <v>44859</v>
      </c>
      <c r="F57" t="s">
        <v>34</v>
      </c>
      <c r="G57" t="s">
        <v>524</v>
      </c>
      <c r="H57" t="s">
        <v>553</v>
      </c>
    </row>
    <row r="58" spans="1:8">
      <c r="A58">
        <v>27212</v>
      </c>
      <c r="B58" s="2">
        <v>10015673</v>
      </c>
      <c r="C58" s="2" t="str">
        <f>IF(LEN(Table2[[#This Row],[Serial Number]]) &gt; 4, RIGHT(LEFT(Table2[[#This Row],[Special Instructions]], FIND("VIN CHANGE", Table2[[#This Row],[Special Instructions]]) + 28), 17), Table2[[#This Row],[Serial Number]])</f>
        <v>2B9B6EW22PA001508</v>
      </c>
      <c r="D58" t="s">
        <v>37</v>
      </c>
      <c r="E58" s="1">
        <v>44866</v>
      </c>
      <c r="F58" t="s">
        <v>38</v>
      </c>
      <c r="G58" t="s">
        <v>524</v>
      </c>
      <c r="H58" t="s">
        <v>536</v>
      </c>
    </row>
    <row r="59" spans="1:8">
      <c r="A59">
        <v>27220</v>
      </c>
      <c r="B59" s="2">
        <v>10015826</v>
      </c>
      <c r="C59" s="2" t="str">
        <f>IF(LEN(Table2[[#This Row],[Serial Number]]) &gt; 4, RIGHT(LEFT(Table2[[#This Row],[Special Instructions]], FIND("VIN CHANGE", Table2[[#This Row],[Special Instructions]]) + 28), 17), Table2[[#This Row],[Serial Number]])</f>
        <v>2B9B2TM2XPA001520</v>
      </c>
      <c r="D59" t="s">
        <v>27</v>
      </c>
      <c r="E59" s="1">
        <v>44858</v>
      </c>
      <c r="F59" t="s">
        <v>28</v>
      </c>
      <c r="G59" t="s">
        <v>524</v>
      </c>
      <c r="H59" t="s">
        <v>552</v>
      </c>
    </row>
    <row r="60" spans="1:8">
      <c r="A60">
        <v>27227</v>
      </c>
      <c r="B60" s="2">
        <v>10015679</v>
      </c>
      <c r="C60" s="2" t="str">
        <f>IF(LEN(Table2[[#This Row],[Serial Number]]) &gt; 4, RIGHT(LEFT(Table2[[#This Row],[Special Instructions]], FIND("VIN CHANGE", Table2[[#This Row],[Special Instructions]]) + 28), 17), Table2[[#This Row],[Serial Number]])</f>
        <v>2B9B6EW26PA001527</v>
      </c>
      <c r="D60" t="s">
        <v>35</v>
      </c>
      <c r="E60" s="1">
        <v>44858</v>
      </c>
      <c r="F60" t="s">
        <v>36</v>
      </c>
      <c r="G60" t="s">
        <v>524</v>
      </c>
      <c r="H60" t="s">
        <v>536</v>
      </c>
    </row>
    <row r="61" spans="1:8">
      <c r="A61">
        <v>27234</v>
      </c>
      <c r="B61" s="2">
        <v>10015703</v>
      </c>
      <c r="C61" s="2" t="str">
        <f>IF(LEN(Table2[[#This Row],[Serial Number]]) &gt; 4, RIGHT(LEFT(Table2[[#This Row],[Special Instructions]], FIND("VIN CHANGE", Table2[[#This Row],[Special Instructions]]) + 28), 17), Table2[[#This Row],[Serial Number]])</f>
        <v>2B9B6GW29PA001534</v>
      </c>
      <c r="D61" t="s">
        <v>39</v>
      </c>
      <c r="E61" s="1">
        <v>44869</v>
      </c>
      <c r="F61" t="s">
        <v>40</v>
      </c>
      <c r="G61" t="s">
        <v>524</v>
      </c>
      <c r="H61" t="s">
        <v>551</v>
      </c>
    </row>
    <row r="62" spans="1:8">
      <c r="A62">
        <v>27243</v>
      </c>
      <c r="B62" s="2">
        <v>10015806</v>
      </c>
      <c r="C62" s="2" t="str">
        <f>IF(LEN(Table2[[#This Row],[Serial Number]]) &gt; 4, RIGHT(LEFT(Table2[[#This Row],[Special Instructions]], FIND("VIN CHANGE", Table2[[#This Row],[Special Instructions]]) + 28), 17), Table2[[#This Row],[Serial Number]])</f>
        <v>2B9B2TN22PA001543</v>
      </c>
      <c r="D62" t="s">
        <v>29</v>
      </c>
      <c r="E62" s="1">
        <v>44859</v>
      </c>
      <c r="F62" t="s">
        <v>30</v>
      </c>
      <c r="G62" t="s">
        <v>524</v>
      </c>
      <c r="H62" t="s">
        <v>553</v>
      </c>
    </row>
    <row r="63" spans="1:8">
      <c r="A63">
        <v>27290</v>
      </c>
      <c r="B63" s="2">
        <v>10016063</v>
      </c>
      <c r="C63" s="2" t="str">
        <f>IF(LEN(Table2[[#This Row],[Serial Number]]) &gt; 4, RIGHT(LEFT(Table2[[#This Row],[Special Instructions]], FIND("VIN CHANGE", Table2[[#This Row],[Special Instructions]]) + 28), 17), Table2[[#This Row],[Serial Number]])</f>
        <v>2B9B6GY32PA001588</v>
      </c>
      <c r="D63" t="s">
        <v>71</v>
      </c>
      <c r="E63" s="1">
        <v>44932</v>
      </c>
      <c r="F63" t="s">
        <v>72</v>
      </c>
      <c r="G63" t="s">
        <v>519</v>
      </c>
      <c r="H63" t="s">
        <v>554</v>
      </c>
    </row>
    <row r="64" spans="1:8">
      <c r="A64">
        <v>27301</v>
      </c>
      <c r="B64" s="2" t="s">
        <v>11</v>
      </c>
      <c r="C64" s="2" t="str">
        <f>IF(LEN(Table2[[#This Row],[Serial Number]]) &gt; 4, RIGHT(LEFT(Table2[[#This Row],[Special Instructions]], FIND("VIN CHANGE", Table2[[#This Row],[Special Instructions]]) + 28), 17), Table2[[#This Row],[Serial Number]])</f>
        <v>2B9B6EY38PA001583</v>
      </c>
      <c r="D64" t="s">
        <v>259</v>
      </c>
      <c r="E64" s="1">
        <v>44945</v>
      </c>
      <c r="F64" t="s">
        <v>260</v>
      </c>
      <c r="G64" t="s">
        <v>521</v>
      </c>
      <c r="H64" t="s">
        <v>535</v>
      </c>
    </row>
    <row r="65" spans="1:8">
      <c r="A65">
        <v>27314</v>
      </c>
      <c r="B65" s="2">
        <v>10016020</v>
      </c>
      <c r="C65" s="2" t="str">
        <f>IF(LEN(Table2[[#This Row],[Serial Number]]) &gt; 4, RIGHT(LEFT(Table2[[#This Row],[Special Instructions]], FIND("VIN CHANGE", Table2[[#This Row],[Special Instructions]]) + 28), 17), Table2[[#This Row],[Serial Number]])</f>
        <v>2B9B6GY34PA001589</v>
      </c>
      <c r="D65" t="s">
        <v>81</v>
      </c>
      <c r="E65" s="1">
        <v>44903</v>
      </c>
      <c r="F65" t="s">
        <v>82</v>
      </c>
      <c r="G65" t="s">
        <v>519</v>
      </c>
      <c r="H65" t="s">
        <v>554</v>
      </c>
    </row>
    <row r="66" spans="1:8">
      <c r="A66">
        <v>27347</v>
      </c>
      <c r="B66" s="2">
        <v>10015963</v>
      </c>
      <c r="C66" s="2" t="str">
        <f>IF(LEN(Table2[[#This Row],[Serial Number]]) &gt; 4, RIGHT(LEFT(Table2[[#This Row],[Special Instructions]], FIND("VIN CHANGE", Table2[[#This Row],[Special Instructions]]) + 28), 17), Table2[[#This Row],[Serial Number]])</f>
        <v>2B9B64R37PA001647</v>
      </c>
      <c r="D66" t="s">
        <v>385</v>
      </c>
      <c r="E66" s="1">
        <v>44882</v>
      </c>
      <c r="F66" t="s">
        <v>386</v>
      </c>
      <c r="G66" t="s">
        <v>515</v>
      </c>
      <c r="H66" t="s">
        <v>555</v>
      </c>
    </row>
    <row r="67" spans="1:8">
      <c r="A67">
        <v>27362</v>
      </c>
      <c r="B67" s="2">
        <v>10015965</v>
      </c>
      <c r="C67" s="2" t="str">
        <f>IF(LEN(Table2[[#This Row],[Serial Number]]) &gt; 4, RIGHT(LEFT(Table2[[#This Row],[Special Instructions]], FIND("VIN CHANGE", Table2[[#This Row],[Special Instructions]]) + 28), 17), Table2[[#This Row],[Serial Number]])</f>
        <v>2B9B6LL28PA001649</v>
      </c>
      <c r="D67" t="s">
        <v>395</v>
      </c>
      <c r="E67" s="1">
        <v>44881</v>
      </c>
      <c r="F67" t="s">
        <v>396</v>
      </c>
      <c r="G67" t="s">
        <v>515</v>
      </c>
      <c r="H67" t="s">
        <v>556</v>
      </c>
    </row>
    <row r="68" spans="1:8">
      <c r="A68">
        <v>27363</v>
      </c>
      <c r="B68" s="2">
        <v>10015962</v>
      </c>
      <c r="C68" s="2" t="str">
        <f>IF(LEN(Table2[[#This Row],[Serial Number]]) &gt; 4, RIGHT(LEFT(Table2[[#This Row],[Special Instructions]], FIND("VIN CHANGE", Table2[[#This Row],[Special Instructions]]) + 28), 17), Table2[[#This Row],[Serial Number]])</f>
        <v>2B9B6LL22PA001646</v>
      </c>
      <c r="D68" t="s">
        <v>309</v>
      </c>
      <c r="E68" s="1">
        <v>44875</v>
      </c>
      <c r="F68" t="s">
        <v>310</v>
      </c>
      <c r="G68" t="s">
        <v>515</v>
      </c>
      <c r="H68" t="s">
        <v>556</v>
      </c>
    </row>
    <row r="69" spans="1:8">
      <c r="A69">
        <v>27364</v>
      </c>
      <c r="B69" s="2">
        <v>10015961</v>
      </c>
      <c r="C69" s="2" t="str">
        <f>IF(LEN(Table2[[#This Row],[Serial Number]]) &gt; 4, RIGHT(LEFT(Table2[[#This Row],[Special Instructions]], FIND("VIN CHANGE", Table2[[#This Row],[Special Instructions]]) + 28), 17), Table2[[#This Row],[Serial Number]])</f>
        <v>2B9B64R33PA001645</v>
      </c>
      <c r="D69" t="s">
        <v>397</v>
      </c>
      <c r="E69" s="1">
        <v>44879</v>
      </c>
      <c r="F69" t="s">
        <v>398</v>
      </c>
      <c r="G69" t="s">
        <v>515</v>
      </c>
      <c r="H69" t="s">
        <v>555</v>
      </c>
    </row>
    <row r="70" spans="1:8">
      <c r="A70">
        <v>27371</v>
      </c>
      <c r="B70" s="2">
        <v>10015964</v>
      </c>
      <c r="C70" s="2" t="str">
        <f>IF(LEN(Table2[[#This Row],[Serial Number]]) &gt; 4, RIGHT(LEFT(Table2[[#This Row],[Special Instructions]], FIND("VIN CHANGE", Table2[[#This Row],[Special Instructions]]) + 28), 17), Table2[[#This Row],[Serial Number]])</f>
        <v>2B9B64R39PA001648</v>
      </c>
      <c r="D70" t="s">
        <v>311</v>
      </c>
      <c r="E70" s="1">
        <v>44888</v>
      </c>
      <c r="F70" t="s">
        <v>312</v>
      </c>
      <c r="G70" t="s">
        <v>515</v>
      </c>
      <c r="H70" t="s">
        <v>555</v>
      </c>
    </row>
    <row r="71" spans="1:8">
      <c r="A71">
        <v>27372</v>
      </c>
      <c r="B71" s="2">
        <v>10015966</v>
      </c>
      <c r="C71" s="2" t="str">
        <f>IF(LEN(Table2[[#This Row],[Serial Number]]) &gt; 4, RIGHT(LEFT(Table2[[#This Row],[Special Instructions]], FIND("VIN CHANGE", Table2[[#This Row],[Special Instructions]]) + 28), 17), Table2[[#This Row],[Serial Number]])</f>
        <v>2B9B6LL24PA001650</v>
      </c>
      <c r="D71" t="s">
        <v>393</v>
      </c>
      <c r="E71" s="1">
        <v>44886</v>
      </c>
      <c r="F71" t="s">
        <v>394</v>
      </c>
      <c r="G71" t="s">
        <v>515</v>
      </c>
      <c r="H71" t="s">
        <v>556</v>
      </c>
    </row>
    <row r="72" spans="1:8">
      <c r="A72">
        <v>27376</v>
      </c>
      <c r="B72" s="2" t="s">
        <v>11</v>
      </c>
      <c r="C72" s="2" t="str">
        <f>IF(LEN(Table2[[#This Row],[Serial Number]]) &gt; 4, RIGHT(LEFT(Table2[[#This Row],[Special Instructions]], FIND("VIN CHANGE", Table2[[#This Row],[Special Instructions]]) + 28), 17), Table2[[#This Row],[Serial Number]])</f>
        <v>2B9B6VX2XRA001001</v>
      </c>
      <c r="D72" t="s">
        <v>307</v>
      </c>
      <c r="E72" s="1">
        <v>45264</v>
      </c>
      <c r="F72" t="s">
        <v>308</v>
      </c>
      <c r="G72" t="s">
        <v>525</v>
      </c>
      <c r="H72" t="s">
        <v>557</v>
      </c>
    </row>
    <row r="73" spans="1:8">
      <c r="A73">
        <v>27418</v>
      </c>
      <c r="B73" s="2">
        <v>10015716</v>
      </c>
      <c r="C73" s="2" t="str">
        <f>IF(LEN(Table2[[#This Row],[Serial Number]]) &gt; 4, RIGHT(LEFT(Table2[[#This Row],[Special Instructions]], FIND("VIN CHANGE", Table2[[#This Row],[Special Instructions]]) + 28), 17), Table2[[#This Row],[Serial Number]])</f>
        <v>2B9B6LX4XPA001681</v>
      </c>
      <c r="D73" t="s">
        <v>199</v>
      </c>
      <c r="E73" s="1">
        <v>44890</v>
      </c>
      <c r="F73" t="s">
        <v>200</v>
      </c>
      <c r="G73" t="s">
        <v>517</v>
      </c>
      <c r="H73" t="s">
        <v>558</v>
      </c>
    </row>
    <row r="74" spans="1:8">
      <c r="A74">
        <v>27456</v>
      </c>
      <c r="B74" s="2">
        <v>10015717</v>
      </c>
      <c r="C74" s="2" t="str">
        <f>IF(LEN(Table2[[#This Row],[Serial Number]]) &gt; 4, RIGHT(LEFT(Table2[[#This Row],[Special Instructions]], FIND("VIN CHANGE", Table2[[#This Row],[Special Instructions]]) + 28), 17), Table2[[#This Row],[Serial Number]])</f>
        <v>2B9B6LX41PA001682</v>
      </c>
      <c r="D74" t="s">
        <v>201</v>
      </c>
      <c r="E74" s="1">
        <v>44897</v>
      </c>
      <c r="F74" t="s">
        <v>202</v>
      </c>
      <c r="G74" t="s">
        <v>517</v>
      </c>
      <c r="H74" t="s">
        <v>558</v>
      </c>
    </row>
    <row r="75" spans="1:8">
      <c r="A75">
        <v>27466</v>
      </c>
      <c r="B75" s="2">
        <v>10016033</v>
      </c>
      <c r="C75" s="2" t="str">
        <f>IF(LEN(Table2[[#This Row],[Serial Number]]) &gt; 4, RIGHT(LEFT(Table2[[#This Row],[Special Instructions]], FIND("VIN CHANGE", Table2[[#This Row],[Special Instructions]]) + 28), 17), Table2[[#This Row],[Serial Number]])</f>
        <v>2B9B6GW21PA001687</v>
      </c>
      <c r="D75" t="s">
        <v>69</v>
      </c>
      <c r="E75" s="1">
        <v>44909</v>
      </c>
      <c r="F75" t="s">
        <v>70</v>
      </c>
      <c r="G75" t="s">
        <v>519</v>
      </c>
      <c r="H75" t="s">
        <v>559</v>
      </c>
    </row>
    <row r="76" spans="1:8">
      <c r="A76">
        <v>27467</v>
      </c>
      <c r="B76" s="2">
        <v>10015926</v>
      </c>
      <c r="C76" s="2" t="str">
        <f>IF(LEN(Table2[[#This Row],[Serial Number]]) &gt; 4, RIGHT(LEFT(Table2[[#This Row],[Special Instructions]], FIND("VIN CHANGE", Table2[[#This Row],[Special Instructions]]) + 28), 17), Table2[[#This Row],[Serial Number]])</f>
        <v>2B9B6EY30PA001688</v>
      </c>
      <c r="D76" t="s">
        <v>67</v>
      </c>
      <c r="E76" s="1">
        <v>44889</v>
      </c>
      <c r="F76" t="s">
        <v>68</v>
      </c>
      <c r="G76" t="s">
        <v>519</v>
      </c>
      <c r="H76" t="s">
        <v>539</v>
      </c>
    </row>
    <row r="77" spans="1:8">
      <c r="A77">
        <v>27479</v>
      </c>
      <c r="B77" s="2">
        <v>10015760</v>
      </c>
      <c r="C77" s="2" t="str">
        <f>IF(LEN(Table2[[#This Row],[Serial Number]]) &gt; 4, RIGHT(LEFT(Table2[[#This Row],[Special Instructions]], FIND("VIN CHANGE", Table2[[#This Row],[Special Instructions]]) + 28), 17), Table2[[#This Row],[Serial Number]])</f>
        <v>2B9B2TR33PA001697</v>
      </c>
      <c r="D77" t="s">
        <v>13</v>
      </c>
      <c r="E77" s="1">
        <v>44865</v>
      </c>
      <c r="F77" t="s">
        <v>14</v>
      </c>
      <c r="G77" t="s">
        <v>521</v>
      </c>
      <c r="H77" t="s">
        <v>560</v>
      </c>
    </row>
    <row r="78" spans="1:8">
      <c r="A78">
        <v>27504</v>
      </c>
      <c r="B78" s="2">
        <v>10015869</v>
      </c>
      <c r="C78" s="2" t="str">
        <f>IF(LEN(Table2[[#This Row],[Serial Number]]) &gt; 4, RIGHT(LEFT(Table2[[#This Row],[Special Instructions]], FIND("VIN CHANGE", Table2[[#This Row],[Special Instructions]]) + 28), 17), Table2[[#This Row],[Serial Number]])</f>
        <v>2B9B2TM22PA001706</v>
      </c>
      <c r="D78" t="s">
        <v>109</v>
      </c>
      <c r="E78" s="1">
        <v>44838</v>
      </c>
      <c r="F78" t="s">
        <v>110</v>
      </c>
      <c r="G78" t="s">
        <v>526</v>
      </c>
      <c r="H78" t="s">
        <v>552</v>
      </c>
    </row>
    <row r="79" spans="1:8">
      <c r="A79">
        <v>27505</v>
      </c>
      <c r="B79" s="2">
        <v>10015870</v>
      </c>
      <c r="C79" s="2" t="str">
        <f>IF(LEN(Table2[[#This Row],[Serial Number]]) &gt; 4, RIGHT(LEFT(Table2[[#This Row],[Special Instructions]], FIND("VIN CHANGE", Table2[[#This Row],[Special Instructions]]) + 28), 17), Table2[[#This Row],[Serial Number]])</f>
        <v>2B9B2TM24PA001707</v>
      </c>
      <c r="D79" t="s">
        <v>111</v>
      </c>
      <c r="E79" s="1">
        <v>44840</v>
      </c>
      <c r="F79" t="s">
        <v>112</v>
      </c>
      <c r="G79" t="s">
        <v>526</v>
      </c>
      <c r="H79" t="s">
        <v>552</v>
      </c>
    </row>
    <row r="80" spans="1:8">
      <c r="A80">
        <v>27506</v>
      </c>
      <c r="B80" s="2">
        <v>10015871</v>
      </c>
      <c r="C80" s="2" t="str">
        <f>IF(LEN(Table2[[#This Row],[Serial Number]]) &gt; 4, RIGHT(LEFT(Table2[[#This Row],[Special Instructions]], FIND("VIN CHANGE", Table2[[#This Row],[Special Instructions]]) + 28), 17), Table2[[#This Row],[Serial Number]])</f>
        <v>2B9B2TM26PA001708</v>
      </c>
      <c r="D80" t="s">
        <v>113</v>
      </c>
      <c r="E80" s="1">
        <v>44840</v>
      </c>
      <c r="F80" t="s">
        <v>114</v>
      </c>
      <c r="G80" t="s">
        <v>526</v>
      </c>
      <c r="H80" t="s">
        <v>552</v>
      </c>
    </row>
    <row r="81" spans="1:8">
      <c r="A81">
        <v>27529</v>
      </c>
      <c r="B81" s="2">
        <v>10016034</v>
      </c>
      <c r="C81" s="2" t="str">
        <f>IF(LEN(Table2[[#This Row],[Serial Number]]) &gt; 4, RIGHT(LEFT(Table2[[#This Row],[Special Instructions]], FIND("VIN CHANGE", Table2[[#This Row],[Special Instructions]]) + 28), 17), Table2[[#This Row],[Serial Number]])</f>
        <v>2B9B6EY3XPA001858</v>
      </c>
      <c r="D81" t="s">
        <v>391</v>
      </c>
      <c r="E81" s="1">
        <v>44907</v>
      </c>
      <c r="F81" t="s">
        <v>392</v>
      </c>
      <c r="G81" t="s">
        <v>518</v>
      </c>
      <c r="H81" t="s">
        <v>535</v>
      </c>
    </row>
    <row r="82" spans="1:8">
      <c r="A82">
        <v>27533</v>
      </c>
      <c r="B82" s="2">
        <v>10015887</v>
      </c>
      <c r="C82" s="2" t="str">
        <f>IF(LEN(Table2[[#This Row],[Serial Number]]) &gt; 4, RIGHT(LEFT(Table2[[#This Row],[Special Instructions]], FIND("VIN CHANGE", Table2[[#This Row],[Special Instructions]]) + 28), 17), Table2[[#This Row],[Serial Number]])</f>
        <v>2B9B6EY34PA001791</v>
      </c>
      <c r="D82" t="s">
        <v>185</v>
      </c>
      <c r="E82" s="1">
        <v>44852</v>
      </c>
      <c r="F82" t="s">
        <v>186</v>
      </c>
      <c r="G82" t="s">
        <v>518</v>
      </c>
      <c r="H82" t="s">
        <v>561</v>
      </c>
    </row>
    <row r="83" spans="1:8">
      <c r="A83">
        <v>27537</v>
      </c>
      <c r="B83" s="2">
        <v>10016003</v>
      </c>
      <c r="C83" s="2" t="str">
        <f>IF(LEN(Table2[[#This Row],[Serial Number]]) &gt; 4, RIGHT(LEFT(Table2[[#This Row],[Special Instructions]], FIND("VIN CHANGE", Table2[[#This Row],[Special Instructions]]) + 28), 17), Table2[[#This Row],[Serial Number]])</f>
        <v>2B9B6EY42PA001863</v>
      </c>
      <c r="D83" t="s">
        <v>189</v>
      </c>
      <c r="E83" s="1">
        <v>44935</v>
      </c>
      <c r="F83" t="s">
        <v>190</v>
      </c>
      <c r="G83" t="s">
        <v>518</v>
      </c>
      <c r="H83" t="s">
        <v>543</v>
      </c>
    </row>
    <row r="84" spans="1:8">
      <c r="A84">
        <v>27538</v>
      </c>
      <c r="B84" s="2">
        <v>10015833</v>
      </c>
      <c r="C84" s="2" t="str">
        <f>IF(LEN(Table2[[#This Row],[Serial Number]]) &gt; 4, RIGHT(LEFT(Table2[[#This Row],[Special Instructions]], FIND("VIN CHANGE", Table2[[#This Row],[Special Instructions]]) + 28), 17), Table2[[#This Row],[Serial Number]])</f>
        <v>2B9B6EY45PA001792</v>
      </c>
      <c r="D84" t="s">
        <v>169</v>
      </c>
      <c r="E84" s="1">
        <v>44917</v>
      </c>
      <c r="F84" t="s">
        <v>170</v>
      </c>
      <c r="G84" t="s">
        <v>518</v>
      </c>
      <c r="H84" t="s">
        <v>543</v>
      </c>
    </row>
    <row r="85" spans="1:8">
      <c r="A85">
        <v>27543</v>
      </c>
      <c r="B85" s="2">
        <v>10015931</v>
      </c>
      <c r="C85" s="2" t="str">
        <f>IF(LEN(Table2[[#This Row],[Serial Number]]) &gt; 4, RIGHT(LEFT(Table2[[#This Row],[Special Instructions]], FIND("VIN CHANGE", Table2[[#This Row],[Special Instructions]]) + 28), 17), Table2[[#This Row],[Serial Number]])</f>
        <v>2B9B2TR38PA001744</v>
      </c>
      <c r="D85" t="s">
        <v>215</v>
      </c>
      <c r="E85" s="1">
        <v>44873</v>
      </c>
      <c r="F85" t="s">
        <v>216</v>
      </c>
      <c r="G85" t="s">
        <v>517</v>
      </c>
      <c r="H85" t="s">
        <v>562</v>
      </c>
    </row>
    <row r="86" spans="1:8">
      <c r="A86">
        <v>27544</v>
      </c>
      <c r="B86" s="2">
        <v>10015922</v>
      </c>
      <c r="C86" s="2" t="str">
        <f>IF(LEN(Table2[[#This Row],[Serial Number]]) &gt; 4, RIGHT(LEFT(Table2[[#This Row],[Special Instructions]], FIND("VIN CHANGE", Table2[[#This Row],[Special Instructions]]) + 28), 17), Table2[[#This Row],[Serial Number]])</f>
        <v>2B9B2TR31PA001746</v>
      </c>
      <c r="D86" t="s">
        <v>207</v>
      </c>
      <c r="E86" s="1">
        <v>44838</v>
      </c>
      <c r="F86" t="s">
        <v>208</v>
      </c>
      <c r="G86" t="s">
        <v>517</v>
      </c>
      <c r="H86" t="s">
        <v>562</v>
      </c>
    </row>
    <row r="87" spans="1:8">
      <c r="A87">
        <v>27545</v>
      </c>
      <c r="B87" s="2">
        <v>10015906</v>
      </c>
      <c r="C87" s="2" t="str">
        <f>IF(LEN(Table2[[#This Row],[Serial Number]]) &gt; 4, RIGHT(LEFT(Table2[[#This Row],[Special Instructions]], FIND("VIN CHANGE", Table2[[#This Row],[Special Instructions]]) + 28), 17), Table2[[#This Row],[Serial Number]])</f>
        <v>2B9B2TR35PA001748</v>
      </c>
      <c r="D87" t="s">
        <v>203</v>
      </c>
      <c r="E87" s="1">
        <v>44837</v>
      </c>
      <c r="F87" t="s">
        <v>204</v>
      </c>
      <c r="G87" t="s">
        <v>517</v>
      </c>
      <c r="H87" t="s">
        <v>560</v>
      </c>
    </row>
    <row r="88" spans="1:8">
      <c r="A88">
        <v>27546</v>
      </c>
      <c r="B88" s="2">
        <v>10015918</v>
      </c>
      <c r="C88" s="2" t="str">
        <f>IF(LEN(Table2[[#This Row],[Serial Number]]) &gt; 4, RIGHT(LEFT(Table2[[#This Row],[Special Instructions]], FIND("VIN CHANGE", Table2[[#This Row],[Special Instructions]]) + 28), 17), Table2[[#This Row],[Serial Number]])</f>
        <v>2B9B2TR33PA001750</v>
      </c>
      <c r="D88" t="s">
        <v>209</v>
      </c>
      <c r="E88" s="1">
        <v>44837</v>
      </c>
      <c r="F88" t="s">
        <v>210</v>
      </c>
      <c r="G88" t="s">
        <v>517</v>
      </c>
      <c r="H88" t="s">
        <v>560</v>
      </c>
    </row>
    <row r="89" spans="1:8">
      <c r="A89">
        <v>27547</v>
      </c>
      <c r="B89" s="2">
        <v>10015948</v>
      </c>
      <c r="C89" s="2" t="str">
        <f>IF(LEN(Table2[[#This Row],[Serial Number]]) &gt; 4, RIGHT(LEFT(Table2[[#This Row],[Special Instructions]], FIND("VIN CHANGE", Table2[[#This Row],[Special Instructions]]) + 28), 17), Table2[[#This Row],[Serial Number]])</f>
        <v>2B9B2TN20PA001752</v>
      </c>
      <c r="D89" t="s">
        <v>213</v>
      </c>
      <c r="E89" s="1">
        <v>44874</v>
      </c>
      <c r="F89" t="s">
        <v>214</v>
      </c>
      <c r="G89" t="s">
        <v>517</v>
      </c>
      <c r="H89" t="s">
        <v>553</v>
      </c>
    </row>
    <row r="90" spans="1:8">
      <c r="A90">
        <v>27550</v>
      </c>
      <c r="B90" s="2">
        <v>10015905</v>
      </c>
      <c r="C90" s="2" t="str">
        <f>IF(LEN(Table2[[#This Row],[Serial Number]]) &gt; 4, RIGHT(LEFT(Table2[[#This Row],[Special Instructions]], FIND("VIN CHANGE", Table2[[#This Row],[Special Instructions]]) + 28), 17), Table2[[#This Row],[Serial Number]])</f>
        <v>2B9B2TR32PA001755</v>
      </c>
      <c r="D90" t="s">
        <v>223</v>
      </c>
      <c r="E90" s="1">
        <v>44837</v>
      </c>
      <c r="F90" t="s">
        <v>224</v>
      </c>
      <c r="G90" t="s">
        <v>517</v>
      </c>
      <c r="H90" t="s">
        <v>537</v>
      </c>
    </row>
    <row r="91" spans="1:8">
      <c r="A91">
        <v>27552</v>
      </c>
      <c r="B91" s="2">
        <v>10015872</v>
      </c>
      <c r="C91" s="2" t="str">
        <f>IF(LEN(Table2[[#This Row],[Serial Number]]) &gt; 4, RIGHT(LEFT(Table2[[#This Row],[Special Instructions]], FIND("VIN CHANGE", Table2[[#This Row],[Special Instructions]]) + 28), 17), Table2[[#This Row],[Serial Number]])</f>
        <v>2B9B2TM22PA001723</v>
      </c>
      <c r="D91" t="s">
        <v>115</v>
      </c>
      <c r="E91" s="1">
        <v>44845</v>
      </c>
      <c r="F91" t="s">
        <v>116</v>
      </c>
      <c r="G91" t="s">
        <v>526</v>
      </c>
      <c r="H91" t="s">
        <v>552</v>
      </c>
    </row>
    <row r="92" spans="1:8">
      <c r="A92">
        <v>27556</v>
      </c>
      <c r="B92" s="2">
        <v>10015873</v>
      </c>
      <c r="C92" s="2" t="str">
        <f>IF(LEN(Table2[[#This Row],[Serial Number]]) &gt; 4, RIGHT(LEFT(Table2[[#This Row],[Special Instructions]], FIND("VIN CHANGE", Table2[[#This Row],[Special Instructions]]) + 28), 17), Table2[[#This Row],[Serial Number]])</f>
        <v>2B9B2TM24PA001724</v>
      </c>
      <c r="D92" t="s">
        <v>117</v>
      </c>
      <c r="E92" s="1">
        <v>44847</v>
      </c>
      <c r="F92" t="s">
        <v>118</v>
      </c>
      <c r="G92" t="s">
        <v>526</v>
      </c>
      <c r="H92" t="s">
        <v>552</v>
      </c>
    </row>
    <row r="93" spans="1:8">
      <c r="A93">
        <v>27557</v>
      </c>
      <c r="B93" s="2">
        <v>10015874</v>
      </c>
      <c r="C93" s="2" t="str">
        <f>IF(LEN(Table2[[#This Row],[Serial Number]]) &gt; 4, RIGHT(LEFT(Table2[[#This Row],[Special Instructions]], FIND("VIN CHANGE", Table2[[#This Row],[Special Instructions]]) + 28), 17), Table2[[#This Row],[Serial Number]])</f>
        <v>2B9B2TM26PA001725</v>
      </c>
      <c r="D93" t="s">
        <v>119</v>
      </c>
      <c r="E93" s="1">
        <v>44865</v>
      </c>
      <c r="F93" t="s">
        <v>120</v>
      </c>
      <c r="G93" t="s">
        <v>526</v>
      </c>
      <c r="H93" t="s">
        <v>552</v>
      </c>
    </row>
    <row r="94" spans="1:8">
      <c r="A94">
        <v>27558</v>
      </c>
      <c r="B94" s="2">
        <v>10015875</v>
      </c>
      <c r="C94" s="2" t="str">
        <f>IF(LEN(Table2[[#This Row],[Serial Number]]) &gt; 4, RIGHT(LEFT(Table2[[#This Row],[Special Instructions]], FIND("VIN CHANGE", Table2[[#This Row],[Special Instructions]]) + 28), 17), Table2[[#This Row],[Serial Number]])</f>
        <v>2B9B2TM28PA001726</v>
      </c>
      <c r="D94" t="s">
        <v>121</v>
      </c>
      <c r="E94" s="1">
        <v>44867</v>
      </c>
      <c r="F94" t="s">
        <v>122</v>
      </c>
      <c r="G94" t="s">
        <v>526</v>
      </c>
      <c r="H94" t="s">
        <v>552</v>
      </c>
    </row>
    <row r="95" spans="1:8">
      <c r="A95">
        <v>27559</v>
      </c>
      <c r="B95" s="2">
        <v>10015876</v>
      </c>
      <c r="C95" s="2" t="str">
        <f>IF(LEN(Table2[[#This Row],[Serial Number]]) &gt; 4, RIGHT(LEFT(Table2[[#This Row],[Special Instructions]], FIND("VIN CHANGE", Table2[[#This Row],[Special Instructions]]) + 28), 17), Table2[[#This Row],[Serial Number]])</f>
        <v>2B9B2TM2XPA001727</v>
      </c>
      <c r="D95" t="s">
        <v>123</v>
      </c>
      <c r="E95" s="1">
        <v>44869</v>
      </c>
      <c r="F95" t="s">
        <v>124</v>
      </c>
      <c r="G95" t="s">
        <v>526</v>
      </c>
      <c r="H95" t="s">
        <v>552</v>
      </c>
    </row>
    <row r="96" spans="1:8">
      <c r="A96">
        <v>27560</v>
      </c>
      <c r="B96" s="2">
        <v>10015877</v>
      </c>
      <c r="C96" s="2" t="str">
        <f>IF(LEN(Table2[[#This Row],[Serial Number]]) &gt; 4, RIGHT(LEFT(Table2[[#This Row],[Special Instructions]], FIND("VIN CHANGE", Table2[[#This Row],[Special Instructions]]) + 28), 17), Table2[[#This Row],[Serial Number]])</f>
        <v>2B9B2TM21PA001728</v>
      </c>
      <c r="D96" t="s">
        <v>125</v>
      </c>
      <c r="E96" s="1">
        <v>44873</v>
      </c>
      <c r="F96" t="s">
        <v>126</v>
      </c>
      <c r="G96" t="s">
        <v>526</v>
      </c>
      <c r="H96" t="s">
        <v>552</v>
      </c>
    </row>
    <row r="97" spans="1:8">
      <c r="A97">
        <v>27562</v>
      </c>
      <c r="B97" s="2">
        <v>10015846</v>
      </c>
      <c r="C97" s="2" t="str">
        <f>IF(LEN(Table2[[#This Row],[Serial Number]]) &gt; 4, RIGHT(LEFT(Table2[[#This Row],[Special Instructions]], FIND("VIN CHANGE", Table2[[#This Row],[Special Instructions]]) + 28), 17), Table2[[#This Row],[Serial Number]])</f>
        <v>2B9B2TR34PA001773</v>
      </c>
      <c r="D97" t="s">
        <v>227</v>
      </c>
      <c r="E97" s="1">
        <v>44839</v>
      </c>
      <c r="F97" t="s">
        <v>228</v>
      </c>
      <c r="G97" t="s">
        <v>521</v>
      </c>
      <c r="H97" t="s">
        <v>560</v>
      </c>
    </row>
    <row r="98" spans="1:8">
      <c r="A98">
        <v>27563</v>
      </c>
      <c r="B98" s="2">
        <v>10015863</v>
      </c>
      <c r="C98" s="2" t="str">
        <f>IF(LEN(Table2[[#This Row],[Serial Number]]) &gt; 4, RIGHT(LEFT(Table2[[#This Row],[Special Instructions]], FIND("VIN CHANGE", Table2[[#This Row],[Special Instructions]]) + 28), 17), Table2[[#This Row],[Serial Number]])</f>
        <v>2B9B2TR36PA001774</v>
      </c>
      <c r="D98" t="s">
        <v>229</v>
      </c>
      <c r="E98" s="1">
        <v>44847</v>
      </c>
      <c r="F98" t="s">
        <v>230</v>
      </c>
      <c r="G98" t="s">
        <v>521</v>
      </c>
      <c r="H98" t="s">
        <v>562</v>
      </c>
    </row>
    <row r="99" spans="1:8">
      <c r="A99">
        <v>27564</v>
      </c>
      <c r="B99" s="2" t="s">
        <v>11</v>
      </c>
      <c r="C99" s="2" t="str">
        <f>IF(LEN(Table2[[#This Row],[Serial Number]]) &gt; 4, RIGHT(LEFT(Table2[[#This Row],[Special Instructions]], FIND("VIN CHANGE", Table2[[#This Row],[Special Instructions]]) + 28), 17), Table2[[#This Row],[Serial Number]])</f>
        <v>2B9B6EY30PA001772</v>
      </c>
      <c r="D99" t="s">
        <v>323</v>
      </c>
      <c r="E99" s="1">
        <v>44992</v>
      </c>
      <c r="F99" t="s">
        <v>324</v>
      </c>
      <c r="G99" t="s">
        <v>521</v>
      </c>
      <c r="H99" t="s">
        <v>539</v>
      </c>
    </row>
    <row r="100" spans="1:8">
      <c r="A100">
        <v>27578</v>
      </c>
      <c r="B100" s="2">
        <v>10015896</v>
      </c>
      <c r="C100" s="2" t="str">
        <f>IF(LEN(Table2[[#This Row],[Serial Number]]) &gt; 4, RIGHT(LEFT(Table2[[#This Row],[Special Instructions]], FIND("VIN CHANGE", Table2[[#This Row],[Special Instructions]]) + 28), 17), Table2[[#This Row],[Serial Number]])</f>
        <v>2B9B6DS35PA001768</v>
      </c>
      <c r="D100" t="s">
        <v>315</v>
      </c>
      <c r="E100" s="1">
        <v>44882</v>
      </c>
      <c r="F100" t="s">
        <v>316</v>
      </c>
      <c r="G100" t="s">
        <v>517</v>
      </c>
      <c r="H100" t="s">
        <v>563</v>
      </c>
    </row>
    <row r="101" spans="1:8">
      <c r="A101">
        <v>27581</v>
      </c>
      <c r="B101" s="2">
        <v>10015912</v>
      </c>
      <c r="C101" s="2" t="str">
        <f>IF(LEN(Table2[[#This Row],[Serial Number]]) &gt; 4, RIGHT(LEFT(Table2[[#This Row],[Special Instructions]], FIND("VIN CHANGE", Table2[[#This Row],[Special Instructions]]) + 28), 17), Table2[[#This Row],[Serial Number]])</f>
        <v>2B9B6ET26PA001743</v>
      </c>
      <c r="D101" t="s">
        <v>313</v>
      </c>
      <c r="E101" s="1">
        <v>44874</v>
      </c>
      <c r="F101" t="s">
        <v>314</v>
      </c>
      <c r="G101" t="s">
        <v>526</v>
      </c>
      <c r="H101" t="s">
        <v>564</v>
      </c>
    </row>
    <row r="102" spans="1:8">
      <c r="A102">
        <v>27586</v>
      </c>
      <c r="B102" s="2">
        <v>10015947</v>
      </c>
      <c r="C102" s="2" t="str">
        <f>IF(LEN(Table2[[#This Row],[Serial Number]]) &gt; 4, RIGHT(LEFT(Table2[[#This Row],[Special Instructions]], FIND("VIN CHANGE", Table2[[#This Row],[Special Instructions]]) + 28), 17), Table2[[#This Row],[Serial Number]])</f>
        <v>2B9B2TR37PA001749</v>
      </c>
      <c r="D102" t="s">
        <v>217</v>
      </c>
      <c r="E102" s="1">
        <v>44866</v>
      </c>
      <c r="F102" t="s">
        <v>218</v>
      </c>
      <c r="G102" t="s">
        <v>517</v>
      </c>
      <c r="H102" t="s">
        <v>560</v>
      </c>
    </row>
    <row r="103" spans="1:8">
      <c r="A103">
        <v>27587</v>
      </c>
      <c r="B103" s="2">
        <v>10015923</v>
      </c>
      <c r="C103" s="2" t="str">
        <f>IF(LEN(Table2[[#This Row],[Serial Number]]) &gt; 4, RIGHT(LEFT(Table2[[#This Row],[Special Instructions]], FIND("VIN CHANGE", Table2[[#This Row],[Special Instructions]]) + 28), 17), Table2[[#This Row],[Serial Number]])</f>
        <v>2B9B2TR35PA001751</v>
      </c>
      <c r="D103" t="s">
        <v>211</v>
      </c>
      <c r="E103" s="1">
        <v>44839</v>
      </c>
      <c r="F103" t="s">
        <v>212</v>
      </c>
      <c r="G103" t="s">
        <v>517</v>
      </c>
      <c r="H103" t="s">
        <v>560</v>
      </c>
    </row>
    <row r="104" spans="1:8">
      <c r="A104">
        <v>27591</v>
      </c>
      <c r="B104" s="2">
        <v>10015894</v>
      </c>
      <c r="C104" s="2" t="str">
        <f>IF(LEN(Table2[[#This Row],[Serial Number]]) &gt; 4, RIGHT(LEFT(Table2[[#This Row],[Special Instructions]], FIND("VIN CHANGE", Table2[[#This Row],[Special Instructions]]) + 28), 17), Table2[[#This Row],[Serial Number]])</f>
        <v>2B9B6DL26PA001770</v>
      </c>
      <c r="D104" t="s">
        <v>319</v>
      </c>
      <c r="E104" s="1">
        <v>44873</v>
      </c>
      <c r="F104" t="s">
        <v>320</v>
      </c>
      <c r="G104" t="s">
        <v>517</v>
      </c>
      <c r="H104" t="s">
        <v>565</v>
      </c>
    </row>
    <row r="105" spans="1:8">
      <c r="A105">
        <v>27594</v>
      </c>
      <c r="B105" s="2">
        <v>10015915</v>
      </c>
      <c r="C105" s="2" t="str">
        <f>IF(LEN(Table2[[#This Row],[Serial Number]]) &gt; 4, RIGHT(LEFT(Table2[[#This Row],[Special Instructions]], FIND("VIN CHANGE", Table2[[#This Row],[Special Instructions]]) + 28), 17), Table2[[#This Row],[Serial Number]])</f>
        <v>2B9B2TP36PA001762</v>
      </c>
      <c r="D105" t="s">
        <v>127</v>
      </c>
      <c r="E105" s="1">
        <v>44862</v>
      </c>
      <c r="F105" t="s">
        <v>128</v>
      </c>
      <c r="G105" t="s">
        <v>526</v>
      </c>
      <c r="H105" t="s">
        <v>566</v>
      </c>
    </row>
    <row r="106" spans="1:8">
      <c r="A106">
        <v>27597</v>
      </c>
      <c r="B106" s="2">
        <v>10015916</v>
      </c>
      <c r="C106" s="2" t="str">
        <f>IF(LEN(Table2[[#This Row],[Serial Number]]) &gt; 4, RIGHT(LEFT(Table2[[#This Row],[Special Instructions]], FIND("VIN CHANGE", Table2[[#This Row],[Special Instructions]]) + 28), 17), Table2[[#This Row],[Serial Number]])</f>
        <v>2B9B2TP38PA001763</v>
      </c>
      <c r="D106" t="s">
        <v>129</v>
      </c>
      <c r="E106" s="1">
        <v>44866</v>
      </c>
      <c r="F106" t="s">
        <v>130</v>
      </c>
      <c r="G106" t="s">
        <v>526</v>
      </c>
      <c r="H106" t="s">
        <v>566</v>
      </c>
    </row>
    <row r="107" spans="1:8">
      <c r="A107">
        <v>27598</v>
      </c>
      <c r="B107" s="2">
        <v>10015935</v>
      </c>
      <c r="C107" s="2" t="str">
        <f>IF(LEN(Table2[[#This Row],[Serial Number]]) &gt; 4, RIGHT(LEFT(Table2[[#This Row],[Special Instructions]], FIND("VIN CHANGE", Table2[[#This Row],[Special Instructions]]) + 28), 17), Table2[[#This Row],[Serial Number]])</f>
        <v>2B9B2TP3XPA001764</v>
      </c>
      <c r="D107" t="s">
        <v>131</v>
      </c>
      <c r="E107" s="1">
        <v>44868</v>
      </c>
      <c r="F107" t="s">
        <v>132</v>
      </c>
      <c r="G107" t="s">
        <v>526</v>
      </c>
      <c r="H107" t="s">
        <v>566</v>
      </c>
    </row>
    <row r="108" spans="1:8">
      <c r="A108">
        <v>27599</v>
      </c>
      <c r="B108" s="2">
        <v>10015936</v>
      </c>
      <c r="C108" s="2" t="str">
        <f>IF(LEN(Table2[[#This Row],[Serial Number]]) &gt; 4, RIGHT(LEFT(Table2[[#This Row],[Special Instructions]], FIND("VIN CHANGE", Table2[[#This Row],[Special Instructions]]) + 28), 17), Table2[[#This Row],[Serial Number]])</f>
        <v>2B9B2TP31PA001765</v>
      </c>
      <c r="D108" t="s">
        <v>133</v>
      </c>
      <c r="E108" s="1">
        <v>44872</v>
      </c>
      <c r="F108" t="s">
        <v>134</v>
      </c>
      <c r="G108" t="s">
        <v>526</v>
      </c>
      <c r="H108" t="s">
        <v>566</v>
      </c>
    </row>
    <row r="109" spans="1:8">
      <c r="A109">
        <v>27600</v>
      </c>
      <c r="B109" s="2">
        <v>10015937</v>
      </c>
      <c r="C109" s="2" t="str">
        <f>IF(LEN(Table2[[#This Row],[Serial Number]]) &gt; 4, RIGHT(LEFT(Table2[[#This Row],[Special Instructions]], FIND("VIN CHANGE", Table2[[#This Row],[Special Instructions]]) + 28), 17), Table2[[#This Row],[Serial Number]])</f>
        <v>2B9B2TP33PA001766</v>
      </c>
      <c r="D109" t="s">
        <v>135</v>
      </c>
      <c r="E109" s="1">
        <v>44882</v>
      </c>
      <c r="F109" t="s">
        <v>136</v>
      </c>
      <c r="G109" t="s">
        <v>526</v>
      </c>
      <c r="H109" t="s">
        <v>566</v>
      </c>
    </row>
    <row r="110" spans="1:8">
      <c r="A110">
        <v>27601</v>
      </c>
      <c r="B110" s="2">
        <v>10015938</v>
      </c>
      <c r="C110" s="2" t="str">
        <f>IF(LEN(Table2[[#This Row],[Serial Number]]) &gt; 4, RIGHT(LEFT(Table2[[#This Row],[Special Instructions]], FIND("VIN CHANGE", Table2[[#This Row],[Special Instructions]]) + 28), 17), Table2[[#This Row],[Serial Number]])</f>
        <v>2B9B2TP35PA001767</v>
      </c>
      <c r="D110" t="s">
        <v>137</v>
      </c>
      <c r="E110" s="1">
        <v>44886</v>
      </c>
      <c r="F110" t="s">
        <v>138</v>
      </c>
      <c r="G110" t="s">
        <v>526</v>
      </c>
      <c r="H110" t="s">
        <v>566</v>
      </c>
    </row>
    <row r="111" spans="1:8">
      <c r="A111">
        <v>27602</v>
      </c>
      <c r="B111" s="2">
        <v>10015897</v>
      </c>
      <c r="C111" s="2" t="str">
        <f>IF(LEN(Table2[[#This Row],[Serial Number]]) &gt; 4, RIGHT(LEFT(Table2[[#This Row],[Special Instructions]], FIND("VIN CHANGE", Table2[[#This Row],[Special Instructions]]) + 28), 17), Table2[[#This Row],[Serial Number]])</f>
        <v>2B9B6DS37PA001769</v>
      </c>
      <c r="D111" t="s">
        <v>317</v>
      </c>
      <c r="E111" s="1">
        <v>44887</v>
      </c>
      <c r="F111" t="s">
        <v>318</v>
      </c>
      <c r="G111" t="s">
        <v>517</v>
      </c>
      <c r="H111" t="s">
        <v>563</v>
      </c>
    </row>
    <row r="112" spans="1:8">
      <c r="A112">
        <v>27603</v>
      </c>
      <c r="B112" s="2">
        <v>10015895</v>
      </c>
      <c r="C112" s="2" t="str">
        <f>IF(LEN(Table2[[#This Row],[Serial Number]]) &gt; 4, RIGHT(LEFT(Table2[[#This Row],[Special Instructions]], FIND("VIN CHANGE", Table2[[#This Row],[Special Instructions]]) + 28), 17), Table2[[#This Row],[Serial Number]])</f>
        <v>2B9B6DL28PA001771</v>
      </c>
      <c r="D112" t="s">
        <v>321</v>
      </c>
      <c r="E112" s="1">
        <v>44879</v>
      </c>
      <c r="F112" t="s">
        <v>322</v>
      </c>
      <c r="G112" t="s">
        <v>517</v>
      </c>
      <c r="H112" t="s">
        <v>565</v>
      </c>
    </row>
    <row r="113" spans="1:8">
      <c r="A113">
        <v>27604</v>
      </c>
      <c r="B113" s="2">
        <v>10015864</v>
      </c>
      <c r="C113" s="2" t="str">
        <f>IF(LEN(Table2[[#This Row],[Serial Number]]) &gt; 4, RIGHT(LEFT(Table2[[#This Row],[Special Instructions]], FIND("VIN CHANGE", Table2[[#This Row],[Special Instructions]]) + 28), 17), Table2[[#This Row],[Serial Number]])</f>
        <v>2B9B2TR38PA001775</v>
      </c>
      <c r="D113" t="s">
        <v>231</v>
      </c>
      <c r="E113" s="1">
        <v>44847</v>
      </c>
      <c r="F113" t="s">
        <v>232</v>
      </c>
      <c r="G113" t="s">
        <v>521</v>
      </c>
      <c r="H113" t="s">
        <v>562</v>
      </c>
    </row>
    <row r="114" spans="1:8">
      <c r="A114">
        <v>27616</v>
      </c>
      <c r="B114" s="2">
        <v>10016049</v>
      </c>
      <c r="C114" s="2" t="str">
        <f>IF(LEN(Table2[[#This Row],[Serial Number]]) &gt; 4, RIGHT(LEFT(Table2[[#This Row],[Special Instructions]], FIND("VIN CHANGE", Table2[[#This Row],[Special Instructions]]) + 28), 17), Table2[[#This Row],[Serial Number]])</f>
        <v>2XBB6VX29RA001021</v>
      </c>
      <c r="D114" t="s">
        <v>299</v>
      </c>
      <c r="E114" s="1">
        <v>44908</v>
      </c>
      <c r="F114" t="s">
        <v>300</v>
      </c>
      <c r="G114" t="s">
        <v>525</v>
      </c>
      <c r="H114" t="s">
        <v>557</v>
      </c>
    </row>
    <row r="115" spans="1:8">
      <c r="A115">
        <v>27626</v>
      </c>
      <c r="B115" s="2">
        <v>10015911</v>
      </c>
      <c r="C115" s="2" t="str">
        <f>IF(LEN(Table2[[#This Row],[Serial Number]]) &gt; 4, RIGHT(LEFT(Table2[[#This Row],[Special Instructions]], FIND("VIN CHANGE", Table2[[#This Row],[Special Instructions]]) + 28), 17), Table2[[#This Row],[Serial Number]])</f>
        <v>2XBB6EY38RA001017</v>
      </c>
      <c r="D115" t="s">
        <v>281</v>
      </c>
      <c r="E115" s="1">
        <v>44915</v>
      </c>
      <c r="F115" t="s">
        <v>282</v>
      </c>
      <c r="G115" t="s">
        <v>514</v>
      </c>
      <c r="H115" t="s">
        <v>539</v>
      </c>
    </row>
    <row r="116" spans="1:8">
      <c r="A116">
        <v>27627</v>
      </c>
      <c r="B116" s="2">
        <v>10015925</v>
      </c>
      <c r="C116" s="2" t="str">
        <f>IF(LEN(Table2[[#This Row],[Serial Number]]) &gt; 4, RIGHT(LEFT(Table2[[#This Row],[Special Instructions]], FIND("VIN CHANGE", Table2[[#This Row],[Special Instructions]]) + 28), 17), Table2[[#This Row],[Serial Number]])</f>
        <v>2XBB6EY3XRA001018</v>
      </c>
      <c r="D116" t="s">
        <v>289</v>
      </c>
      <c r="E116" s="1">
        <v>44931</v>
      </c>
      <c r="F116" t="s">
        <v>290</v>
      </c>
      <c r="G116" t="s">
        <v>514</v>
      </c>
      <c r="H116" t="s">
        <v>539</v>
      </c>
    </row>
    <row r="117" spans="1:8">
      <c r="A117">
        <v>27628</v>
      </c>
      <c r="B117" s="2" t="s">
        <v>11</v>
      </c>
      <c r="C117" s="2" t="str">
        <f>IF(LEN(Table2[[#This Row],[Serial Number]]) &gt; 4, RIGHT(LEFT(Table2[[#This Row],[Special Instructions]], FIND("VIN CHANGE", Table2[[#This Row],[Special Instructions]]) + 28), 17), Table2[[#This Row],[Serial Number]])</f>
        <v>2XBB6EY31RA001019</v>
      </c>
      <c r="D117" t="s">
        <v>297</v>
      </c>
      <c r="E117" s="1">
        <v>44942</v>
      </c>
      <c r="F117" t="s">
        <v>298</v>
      </c>
      <c r="G117" t="s">
        <v>514</v>
      </c>
      <c r="H117" t="s">
        <v>539</v>
      </c>
    </row>
    <row r="118" spans="1:8">
      <c r="A118">
        <v>27629</v>
      </c>
      <c r="B118" s="2" t="s">
        <v>11</v>
      </c>
      <c r="C118" s="2" t="str">
        <f>IF(LEN(Table2[[#This Row],[Serial Number]]) &gt; 4, RIGHT(LEFT(Table2[[#This Row],[Special Instructions]], FIND("VIN CHANGE", Table2[[#This Row],[Special Instructions]]) + 28), 17), Table2[[#This Row],[Serial Number]])</f>
        <v>2XBB6EY38RA001020</v>
      </c>
      <c r="D118" t="s">
        <v>329</v>
      </c>
      <c r="E118" s="1">
        <v>44950</v>
      </c>
      <c r="F118" t="s">
        <v>330</v>
      </c>
      <c r="G118" t="s">
        <v>514</v>
      </c>
      <c r="H118" t="s">
        <v>539</v>
      </c>
    </row>
    <row r="119" spans="1:8">
      <c r="A119">
        <v>27634</v>
      </c>
      <c r="B119" s="2">
        <v>10015973</v>
      </c>
      <c r="C119" s="2" t="str">
        <f>IF(LEN(Table2[[#This Row],[Serial Number]]) &gt; 4, RIGHT(LEFT(Table2[[#This Row],[Special Instructions]], FIND("VIN CHANGE", Table2[[#This Row],[Special Instructions]]) + 28), 17), Table2[[#This Row],[Serial Number]])</f>
        <v>2B9B2TN2XPA001788</v>
      </c>
      <c r="D119" t="s">
        <v>139</v>
      </c>
      <c r="E119" s="1">
        <v>44855</v>
      </c>
      <c r="F119" t="s">
        <v>140</v>
      </c>
      <c r="G119" t="s">
        <v>526</v>
      </c>
      <c r="H119" t="s">
        <v>567</v>
      </c>
    </row>
    <row r="120" spans="1:8">
      <c r="A120">
        <v>27635</v>
      </c>
      <c r="B120" s="2">
        <v>10015974</v>
      </c>
      <c r="C120" s="2" t="str">
        <f>IF(LEN(Table2[[#This Row],[Serial Number]]) &gt; 4, RIGHT(LEFT(Table2[[#This Row],[Special Instructions]], FIND("VIN CHANGE", Table2[[#This Row],[Special Instructions]]) + 28), 17), Table2[[#This Row],[Serial Number]])</f>
        <v>2B9B2TN26PA001786</v>
      </c>
      <c r="D120" t="s">
        <v>141</v>
      </c>
      <c r="E120" s="1">
        <v>44858</v>
      </c>
      <c r="F120" t="s">
        <v>142</v>
      </c>
      <c r="G120" t="s">
        <v>526</v>
      </c>
      <c r="H120" t="s">
        <v>567</v>
      </c>
    </row>
    <row r="121" spans="1:8">
      <c r="A121">
        <v>27638</v>
      </c>
      <c r="B121" s="2">
        <v>10016026</v>
      </c>
      <c r="C121" s="2" t="str">
        <f>IF(LEN(Table2[[#This Row],[Serial Number]]) &gt; 4, RIGHT(LEFT(Table2[[#This Row],[Special Instructions]], FIND("VIN CHANGE", Table2[[#This Row],[Special Instructions]]) + 28), 17), Table2[[#This Row],[Serial Number]])</f>
        <v>2B9B2TN28PA001787</v>
      </c>
      <c r="D121" t="s">
        <v>325</v>
      </c>
      <c r="E121" s="1">
        <v>44886</v>
      </c>
      <c r="F121" t="s">
        <v>326</v>
      </c>
      <c r="G121" t="s">
        <v>526</v>
      </c>
      <c r="H121" t="s">
        <v>567</v>
      </c>
    </row>
    <row r="122" spans="1:8">
      <c r="A122">
        <v>27639</v>
      </c>
      <c r="B122" s="2">
        <v>10016025</v>
      </c>
      <c r="C122" s="2" t="str">
        <f>IF(LEN(Table2[[#This Row],[Serial Number]]) &gt; 4, RIGHT(LEFT(Table2[[#This Row],[Special Instructions]], FIND("VIN CHANGE", Table2[[#This Row],[Special Instructions]]) + 28), 17), Table2[[#This Row],[Serial Number]])</f>
        <v>2B9B2TN21PA001789</v>
      </c>
      <c r="D122" t="s">
        <v>327</v>
      </c>
      <c r="E122" s="1">
        <v>44886</v>
      </c>
      <c r="F122" t="s">
        <v>328</v>
      </c>
      <c r="G122" t="s">
        <v>526</v>
      </c>
      <c r="H122" t="s">
        <v>567</v>
      </c>
    </row>
    <row r="123" spans="1:8">
      <c r="A123">
        <v>27651</v>
      </c>
      <c r="B123" s="2">
        <v>10016013</v>
      </c>
      <c r="C123" s="2" t="str">
        <f>IF(LEN(Table2[[#This Row],[Serial Number]]) &gt; 4, RIGHT(LEFT(Table2[[#This Row],[Special Instructions]], FIND("VIN CHANGE", Table2[[#This Row],[Special Instructions]]) + 28), 17), Table2[[#This Row],[Serial Number]])</f>
        <v>2B9B2TN23PA001826</v>
      </c>
      <c r="D123" t="s">
        <v>331</v>
      </c>
      <c r="E123" s="1">
        <v>44888</v>
      </c>
      <c r="F123" t="s">
        <v>332</v>
      </c>
      <c r="G123" t="s">
        <v>526</v>
      </c>
      <c r="H123" t="s">
        <v>553</v>
      </c>
    </row>
    <row r="124" spans="1:8">
      <c r="A124">
        <v>27653</v>
      </c>
      <c r="B124" s="2">
        <v>10016004</v>
      </c>
      <c r="C124" s="2" t="str">
        <f>IF(LEN(Table2[[#This Row],[Serial Number]]) &gt; 4, RIGHT(LEFT(Table2[[#This Row],[Special Instructions]], FIND("VIN CHANGE", Table2[[#This Row],[Special Instructions]]) + 28), 17), Table2[[#This Row],[Serial Number]])</f>
        <v>2B9B6FX57PA001812</v>
      </c>
      <c r="D124" t="s">
        <v>21</v>
      </c>
      <c r="E124" s="1">
        <v>44915</v>
      </c>
      <c r="F124" t="s">
        <v>22</v>
      </c>
      <c r="G124" t="s">
        <v>523</v>
      </c>
      <c r="H124" t="s">
        <v>568</v>
      </c>
    </row>
    <row r="125" spans="1:8">
      <c r="A125">
        <v>27659</v>
      </c>
      <c r="B125" s="2">
        <v>10015908</v>
      </c>
      <c r="C125" s="2" t="str">
        <f>IF(LEN(Table2[[#This Row],[Serial Number]]) &gt; 4, RIGHT(LEFT(Table2[[#This Row],[Special Instructions]], FIND("VIN CHANGE", Table2[[#This Row],[Special Instructions]]) + 28), 17), Table2[[#This Row],[Serial Number]])</f>
        <v>2B9B2TR33PA001814</v>
      </c>
      <c r="D125" t="s">
        <v>233</v>
      </c>
      <c r="E125" s="1">
        <v>44848</v>
      </c>
      <c r="F125" t="s">
        <v>234</v>
      </c>
      <c r="G125" t="s">
        <v>521</v>
      </c>
      <c r="H125" t="s">
        <v>562</v>
      </c>
    </row>
    <row r="126" spans="1:8">
      <c r="A126">
        <v>27660</v>
      </c>
      <c r="B126" s="2">
        <v>10015909</v>
      </c>
      <c r="C126" s="2" t="str">
        <f>IF(LEN(Table2[[#This Row],[Serial Number]]) &gt; 4, RIGHT(LEFT(Table2[[#This Row],[Special Instructions]], FIND("VIN CHANGE", Table2[[#This Row],[Special Instructions]]) + 28), 17), Table2[[#This Row],[Serial Number]])</f>
        <v>2B9B2TR35PA001815</v>
      </c>
      <c r="D126" t="s">
        <v>235</v>
      </c>
      <c r="E126" s="1">
        <v>44848</v>
      </c>
      <c r="F126" t="s">
        <v>236</v>
      </c>
      <c r="G126" t="s">
        <v>521</v>
      </c>
      <c r="H126" t="s">
        <v>562</v>
      </c>
    </row>
    <row r="127" spans="1:8">
      <c r="A127">
        <v>27661</v>
      </c>
      <c r="B127" s="2">
        <v>10015910</v>
      </c>
      <c r="C127" s="2" t="str">
        <f>IF(LEN(Table2[[#This Row],[Serial Number]]) &gt; 4, RIGHT(LEFT(Table2[[#This Row],[Special Instructions]], FIND("VIN CHANGE", Table2[[#This Row],[Special Instructions]]) + 28), 17), Table2[[#This Row],[Serial Number]])</f>
        <v>2B9B2TR37PA001816</v>
      </c>
      <c r="D127" t="s">
        <v>237</v>
      </c>
      <c r="E127" s="1">
        <v>44851</v>
      </c>
      <c r="F127" t="s">
        <v>238</v>
      </c>
      <c r="G127" t="s">
        <v>521</v>
      </c>
      <c r="H127" t="s">
        <v>562</v>
      </c>
    </row>
    <row r="128" spans="1:8">
      <c r="A128">
        <v>27665</v>
      </c>
      <c r="B128" s="2">
        <v>10015817</v>
      </c>
      <c r="C128" s="2" t="str">
        <f>IF(LEN(Table2[[#This Row],[Serial Number]]) &gt; 4, RIGHT(LEFT(Table2[[#This Row],[Special Instructions]], FIND("VIN CHANGE", Table2[[#This Row],[Special Instructions]]) + 28), 17), Table2[[#This Row],[Serial Number]])</f>
        <v>2B9B2TP37PA001804</v>
      </c>
      <c r="D128" t="s">
        <v>143</v>
      </c>
      <c r="E128" s="1">
        <v>44859</v>
      </c>
      <c r="F128" t="s">
        <v>144</v>
      </c>
      <c r="G128" t="s">
        <v>523</v>
      </c>
      <c r="H128" t="s">
        <v>566</v>
      </c>
    </row>
    <row r="129" spans="1:8">
      <c r="A129">
        <v>27666</v>
      </c>
      <c r="B129" s="2">
        <v>10015818</v>
      </c>
      <c r="C129" s="2" t="str">
        <f>IF(LEN(Table2[[#This Row],[Serial Number]]) &gt; 4, RIGHT(LEFT(Table2[[#This Row],[Special Instructions]], FIND("VIN CHANGE", Table2[[#This Row],[Special Instructions]]) + 28), 17), Table2[[#This Row],[Serial Number]])</f>
        <v>2B9B2TP39PA001805</v>
      </c>
      <c r="D129" t="s">
        <v>145</v>
      </c>
      <c r="E129" s="1">
        <v>44861</v>
      </c>
      <c r="F129" t="s">
        <v>146</v>
      </c>
      <c r="G129" t="s">
        <v>523</v>
      </c>
      <c r="H129" t="s">
        <v>566</v>
      </c>
    </row>
    <row r="130" spans="1:8">
      <c r="A130">
        <v>27667</v>
      </c>
      <c r="B130" s="2">
        <v>10015819</v>
      </c>
      <c r="C130" s="2" t="str">
        <f>IF(LEN(Table2[[#This Row],[Serial Number]]) &gt; 4, RIGHT(LEFT(Table2[[#This Row],[Special Instructions]], FIND("VIN CHANGE", Table2[[#This Row],[Special Instructions]]) + 28), 17), Table2[[#This Row],[Serial Number]])</f>
        <v>2B9B2TP30PA001806</v>
      </c>
      <c r="D130" t="s">
        <v>149</v>
      </c>
      <c r="E130" s="1">
        <v>44873</v>
      </c>
      <c r="F130" t="s">
        <v>150</v>
      </c>
      <c r="G130" t="s">
        <v>523</v>
      </c>
      <c r="H130" t="s">
        <v>566</v>
      </c>
    </row>
    <row r="131" spans="1:8">
      <c r="A131">
        <v>27669</v>
      </c>
      <c r="B131" s="2" t="s">
        <v>11</v>
      </c>
      <c r="C131" s="2" t="str">
        <f>IF(LEN(Table2[[#This Row],[Serial Number]]) &gt; 4, RIGHT(LEFT(Table2[[#This Row],[Special Instructions]], FIND("VIN CHANGE", Table2[[#This Row],[Special Instructions]]) + 28), 17), Table2[[#This Row],[Serial Number]])</f>
        <v>2B9B6FX53PA001810</v>
      </c>
      <c r="D131" t="s">
        <v>23</v>
      </c>
      <c r="E131" s="1">
        <v>44937</v>
      </c>
      <c r="F131" t="s">
        <v>24</v>
      </c>
      <c r="G131" t="s">
        <v>523</v>
      </c>
      <c r="H131" t="s">
        <v>568</v>
      </c>
    </row>
    <row r="132" spans="1:8">
      <c r="A132">
        <v>27670</v>
      </c>
      <c r="B132" s="2" t="s">
        <v>11</v>
      </c>
      <c r="C132" s="2" t="str">
        <f>IF(LEN(Table2[[#This Row],[Serial Number]]) &gt; 4, RIGHT(LEFT(Table2[[#This Row],[Special Instructions]], FIND("VIN CHANGE", Table2[[#This Row],[Special Instructions]]) + 28), 17), Table2[[#This Row],[Serial Number]])</f>
        <v>2B9B6FX55PA001811</v>
      </c>
      <c r="D132" t="s">
        <v>25</v>
      </c>
      <c r="E132" s="1">
        <v>44944</v>
      </c>
      <c r="F132" t="s">
        <v>26</v>
      </c>
      <c r="G132" t="s">
        <v>523</v>
      </c>
      <c r="H132" t="s">
        <v>568</v>
      </c>
    </row>
    <row r="133" spans="1:8">
      <c r="A133">
        <v>27672</v>
      </c>
      <c r="B133" s="2">
        <v>10016041</v>
      </c>
      <c r="C133" s="2" t="str">
        <f>IF(LEN(Table2[[#This Row],[Serial Number]]) &gt; 4, RIGHT(LEFT(Table2[[#This Row],[Special Instructions]], FIND("VIN CHANGE", Table2[[#This Row],[Special Instructions]]) + 28), 17), Table2[[#This Row],[Serial Number]])</f>
        <v>2B9B6FX59PA001813</v>
      </c>
      <c r="D133" t="s">
        <v>147</v>
      </c>
      <c r="E133" s="1">
        <v>44930</v>
      </c>
      <c r="F133" t="s">
        <v>148</v>
      </c>
      <c r="G133" t="s">
        <v>523</v>
      </c>
      <c r="H133" t="s">
        <v>568</v>
      </c>
    </row>
    <row r="134" spans="1:8">
      <c r="A134">
        <v>27696</v>
      </c>
      <c r="B134" s="2">
        <v>10016011</v>
      </c>
      <c r="C134" s="2" t="str">
        <f>IF(LEN(Table2[[#This Row],[Serial Number]]) &gt; 4, RIGHT(LEFT(Table2[[#This Row],[Special Instructions]], FIND("VIN CHANGE", Table2[[#This Row],[Special Instructions]]) + 28), 17), Table2[[#This Row],[Serial Number]])</f>
        <v>2B9B2TN25PA001827</v>
      </c>
      <c r="D134" t="s">
        <v>57</v>
      </c>
      <c r="E134" s="1">
        <v>44888</v>
      </c>
      <c r="F134" t="s">
        <v>58</v>
      </c>
      <c r="G134" t="s">
        <v>526</v>
      </c>
      <c r="H134" t="s">
        <v>553</v>
      </c>
    </row>
    <row r="135" spans="1:8">
      <c r="A135">
        <v>27697</v>
      </c>
      <c r="B135" s="2">
        <v>10016027</v>
      </c>
      <c r="C135" s="2" t="str">
        <f>IF(LEN(Table2[[#This Row],[Serial Number]]) &gt; 4, RIGHT(LEFT(Table2[[#This Row],[Special Instructions]], FIND("VIN CHANGE", Table2[[#This Row],[Special Instructions]]) + 28), 17), Table2[[#This Row],[Serial Number]])</f>
        <v>2B9B2TN27PA001828</v>
      </c>
      <c r="D135" t="s">
        <v>333</v>
      </c>
      <c r="E135" s="1">
        <v>44889</v>
      </c>
      <c r="F135" t="s">
        <v>334</v>
      </c>
      <c r="G135" t="s">
        <v>526</v>
      </c>
      <c r="H135" t="s">
        <v>553</v>
      </c>
    </row>
    <row r="136" spans="1:8">
      <c r="A136">
        <v>27698</v>
      </c>
      <c r="B136" s="2">
        <v>10016028</v>
      </c>
      <c r="C136" s="2" t="str">
        <f>IF(LEN(Table2[[#This Row],[Serial Number]]) &gt; 4, RIGHT(LEFT(Table2[[#This Row],[Special Instructions]], FIND("VIN CHANGE", Table2[[#This Row],[Special Instructions]]) + 28), 17), Table2[[#This Row],[Serial Number]])</f>
        <v>2B9B2TN29PA001829</v>
      </c>
      <c r="D136" t="s">
        <v>337</v>
      </c>
      <c r="E136" s="1">
        <v>44889</v>
      </c>
      <c r="F136" t="s">
        <v>338</v>
      </c>
      <c r="G136" t="s">
        <v>526</v>
      </c>
      <c r="H136" t="s">
        <v>553</v>
      </c>
    </row>
    <row r="137" spans="1:8">
      <c r="A137">
        <v>27699</v>
      </c>
      <c r="B137" s="2">
        <v>10016029</v>
      </c>
      <c r="C137" s="2" t="str">
        <f>IF(LEN(Table2[[#This Row],[Serial Number]]) &gt; 4, RIGHT(LEFT(Table2[[#This Row],[Special Instructions]], FIND("VIN CHANGE", Table2[[#This Row],[Special Instructions]]) + 28), 17), Table2[[#This Row],[Serial Number]])</f>
        <v>2B9B2TN25PA001830</v>
      </c>
      <c r="D137" t="s">
        <v>339</v>
      </c>
      <c r="E137" s="1">
        <v>44916</v>
      </c>
      <c r="F137" t="s">
        <v>340</v>
      </c>
      <c r="G137" t="s">
        <v>526</v>
      </c>
      <c r="H137" t="s">
        <v>553</v>
      </c>
    </row>
    <row r="138" spans="1:8">
      <c r="A138">
        <v>27700</v>
      </c>
      <c r="B138" s="2">
        <v>10016030</v>
      </c>
      <c r="C138" s="2" t="str">
        <f>IF(LEN(Table2[[#This Row],[Serial Number]]) &gt; 4, RIGHT(LEFT(Table2[[#This Row],[Special Instructions]], FIND("VIN CHANGE", Table2[[#This Row],[Special Instructions]]) + 28), 17), Table2[[#This Row],[Serial Number]])</f>
        <v>2B9B2TN27PA001831</v>
      </c>
      <c r="D138" t="s">
        <v>335</v>
      </c>
      <c r="E138" s="1">
        <v>44916</v>
      </c>
      <c r="F138" t="s">
        <v>336</v>
      </c>
      <c r="G138" t="s">
        <v>526</v>
      </c>
      <c r="H138" t="s">
        <v>553</v>
      </c>
    </row>
    <row r="139" spans="1:8">
      <c r="A139">
        <v>27701</v>
      </c>
      <c r="B139" s="2">
        <v>10016081</v>
      </c>
      <c r="C139" s="2" t="str">
        <f>IF(LEN(Table2[[#This Row],[Serial Number]]) &gt; 4, RIGHT(LEFT(Table2[[#This Row],[Special Instructions]], FIND("VIN CHANGE", Table2[[#This Row],[Special Instructions]]) + 28), 17), Table2[[#This Row],[Serial Number]])</f>
        <v>2B9B2TR35PA001832</v>
      </c>
      <c r="D139" t="s">
        <v>341</v>
      </c>
      <c r="E139" s="1">
        <v>44904</v>
      </c>
      <c r="F139" t="s">
        <v>342</v>
      </c>
      <c r="G139" t="s">
        <v>526</v>
      </c>
      <c r="H139" t="s">
        <v>562</v>
      </c>
    </row>
    <row r="140" spans="1:8">
      <c r="A140">
        <v>27702</v>
      </c>
      <c r="B140" s="2">
        <v>10016082</v>
      </c>
      <c r="C140" s="2" t="str">
        <f>IF(LEN(Table2[[#This Row],[Serial Number]]) &gt; 4, RIGHT(LEFT(Table2[[#This Row],[Special Instructions]], FIND("VIN CHANGE", Table2[[#This Row],[Special Instructions]]) + 28), 17), Table2[[#This Row],[Serial Number]])</f>
        <v>2B9B2TR37PA001833</v>
      </c>
      <c r="D140" t="s">
        <v>343</v>
      </c>
      <c r="E140" s="1">
        <v>44904</v>
      </c>
      <c r="F140" t="s">
        <v>344</v>
      </c>
      <c r="G140" t="s">
        <v>526</v>
      </c>
      <c r="H140" t="s">
        <v>562</v>
      </c>
    </row>
    <row r="141" spans="1:8">
      <c r="A141">
        <v>27703</v>
      </c>
      <c r="B141" s="2">
        <v>10016083</v>
      </c>
      <c r="C141" s="2" t="str">
        <f>IF(LEN(Table2[[#This Row],[Serial Number]]) &gt; 4, RIGHT(LEFT(Table2[[#This Row],[Special Instructions]], FIND("VIN CHANGE", Table2[[#This Row],[Special Instructions]]) + 28), 17), Table2[[#This Row],[Serial Number]])</f>
        <v>2B9B2TR39PA001834</v>
      </c>
      <c r="D141" t="s">
        <v>345</v>
      </c>
      <c r="E141" s="1">
        <v>44907</v>
      </c>
      <c r="F141" t="s">
        <v>346</v>
      </c>
      <c r="G141" t="s">
        <v>526</v>
      </c>
      <c r="H141" t="s">
        <v>562</v>
      </c>
    </row>
    <row r="142" spans="1:8">
      <c r="A142">
        <v>27704</v>
      </c>
      <c r="B142" s="2">
        <v>10016084</v>
      </c>
      <c r="C142" s="2" t="str">
        <f>IF(LEN(Table2[[#This Row],[Serial Number]]) &gt; 4, RIGHT(LEFT(Table2[[#This Row],[Special Instructions]], FIND("VIN CHANGE", Table2[[#This Row],[Special Instructions]]) + 28), 17), Table2[[#This Row],[Serial Number]])</f>
        <v>2B9B2TR30PA001835</v>
      </c>
      <c r="D142" t="s">
        <v>347</v>
      </c>
      <c r="E142" s="1">
        <v>44907</v>
      </c>
      <c r="F142" t="s">
        <v>348</v>
      </c>
      <c r="G142" t="s">
        <v>526</v>
      </c>
      <c r="H142" t="s">
        <v>562</v>
      </c>
    </row>
    <row r="143" spans="1:8">
      <c r="A143">
        <v>27705</v>
      </c>
      <c r="B143" s="2">
        <v>10016085</v>
      </c>
      <c r="C143" s="2" t="str">
        <f>IF(LEN(Table2[[#This Row],[Serial Number]]) &gt; 4, RIGHT(LEFT(Table2[[#This Row],[Special Instructions]], FIND("VIN CHANGE", Table2[[#This Row],[Special Instructions]]) + 28), 17), Table2[[#This Row],[Serial Number]])</f>
        <v>2B9B2TR32PA001836</v>
      </c>
      <c r="D143" t="s">
        <v>349</v>
      </c>
      <c r="E143" s="1">
        <v>44908</v>
      </c>
      <c r="F143" t="s">
        <v>350</v>
      </c>
      <c r="G143" t="s">
        <v>526</v>
      </c>
      <c r="H143" t="s">
        <v>562</v>
      </c>
    </row>
    <row r="144" spans="1:8">
      <c r="A144">
        <v>27706</v>
      </c>
      <c r="B144" s="2">
        <v>10016086</v>
      </c>
      <c r="C144" s="2" t="str">
        <f>IF(LEN(Table2[[#This Row],[Serial Number]]) &gt; 4, RIGHT(LEFT(Table2[[#This Row],[Special Instructions]], FIND("VIN CHANGE", Table2[[#This Row],[Special Instructions]]) + 28), 17), Table2[[#This Row],[Serial Number]])</f>
        <v>2B9B2TR34PA001837</v>
      </c>
      <c r="D144" t="s">
        <v>351</v>
      </c>
      <c r="E144" s="1">
        <v>44908</v>
      </c>
      <c r="F144" t="s">
        <v>352</v>
      </c>
      <c r="G144" t="s">
        <v>526</v>
      </c>
      <c r="H144" t="s">
        <v>562</v>
      </c>
    </row>
    <row r="145" spans="1:8">
      <c r="A145">
        <v>27710</v>
      </c>
      <c r="B145" s="2">
        <v>10016012</v>
      </c>
      <c r="C145" s="2" t="str">
        <f>IF(LEN(Table2[[#This Row],[Serial Number]]) &gt; 4, RIGHT(LEFT(Table2[[#This Row],[Special Instructions]], FIND("VIN CHANGE", Table2[[#This Row],[Special Instructions]]) + 28), 17), Table2[[#This Row],[Serial Number]])</f>
        <v>2B9B6FY48PA001839</v>
      </c>
      <c r="D145" t="s">
        <v>191</v>
      </c>
      <c r="E145" s="1">
        <v>44911</v>
      </c>
      <c r="F145" t="s">
        <v>192</v>
      </c>
      <c r="G145" t="s">
        <v>518</v>
      </c>
      <c r="H145" t="s">
        <v>569</v>
      </c>
    </row>
    <row r="146" spans="1:8">
      <c r="A146">
        <v>27712</v>
      </c>
      <c r="B146" s="2" t="s">
        <v>11</v>
      </c>
      <c r="C146" s="2" t="str">
        <f>IF(LEN(Table2[[#This Row],[Serial Number]]) &gt; 4, RIGHT(LEFT(Table2[[#This Row],[Special Instructions]], FIND("VIN CHANGE", Table2[[#This Row],[Special Instructions]]) + 28), 17), Table2[[#This Row],[Serial Number]])</f>
        <v>2B9B6JH39PA001942</v>
      </c>
      <c r="D146" t="s">
        <v>55</v>
      </c>
      <c r="E146" s="1">
        <v>44929</v>
      </c>
      <c r="F146" t="s">
        <v>56</v>
      </c>
      <c r="G146" t="s">
        <v>518</v>
      </c>
      <c r="H146" t="s">
        <v>570</v>
      </c>
    </row>
    <row r="147" spans="1:8">
      <c r="A147">
        <v>27723</v>
      </c>
      <c r="B147" s="2">
        <v>10016032</v>
      </c>
      <c r="C147" s="2" t="str">
        <f>IF(LEN(Table2[[#This Row],[Serial Number]]) &gt; 4, RIGHT(LEFT(Table2[[#This Row],[Special Instructions]], FIND("VIN CHANGE", Table2[[#This Row],[Special Instructions]]) + 28), 17), Table2[[#This Row],[Serial Number]])</f>
        <v>2B9B6FY44PA001840</v>
      </c>
      <c r="D147" t="s">
        <v>49</v>
      </c>
      <c r="E147" s="1">
        <v>44908</v>
      </c>
      <c r="F147" t="s">
        <v>50</v>
      </c>
      <c r="G147" t="s">
        <v>518</v>
      </c>
      <c r="H147" t="s">
        <v>569</v>
      </c>
    </row>
    <row r="148" spans="1:8">
      <c r="A148">
        <v>27724</v>
      </c>
      <c r="B148" s="2">
        <v>10016031</v>
      </c>
      <c r="C148" s="2" t="str">
        <f>IF(LEN(Table2[[#This Row],[Serial Number]]) &gt; 4, RIGHT(LEFT(Table2[[#This Row],[Special Instructions]], FIND("VIN CHANGE", Table2[[#This Row],[Special Instructions]]) + 28), 17), Table2[[#This Row],[Serial Number]])</f>
        <v>2B9B6FY46PA001841</v>
      </c>
      <c r="D148" t="s">
        <v>179</v>
      </c>
      <c r="E148" s="1">
        <v>44902</v>
      </c>
      <c r="F148" t="s">
        <v>180</v>
      </c>
      <c r="G148" t="s">
        <v>518</v>
      </c>
      <c r="H148" t="s">
        <v>569</v>
      </c>
    </row>
    <row r="149" spans="1:8">
      <c r="A149">
        <v>27725</v>
      </c>
      <c r="B149" s="2">
        <v>10015933</v>
      </c>
      <c r="C149" s="2" t="str">
        <f>IF(LEN(Table2[[#This Row],[Serial Number]]) &gt; 4, RIGHT(LEFT(Table2[[#This Row],[Special Instructions]], FIND("VIN CHANGE", Table2[[#This Row],[Special Instructions]]) + 28), 17), Table2[[#This Row],[Serial Number]])</f>
        <v>2B9B2TN23PA001843</v>
      </c>
      <c r="D149" t="s">
        <v>353</v>
      </c>
      <c r="E149" s="1">
        <v>44874</v>
      </c>
      <c r="F149" t="s">
        <v>354</v>
      </c>
      <c r="G149" t="s">
        <v>517</v>
      </c>
      <c r="H149" t="s">
        <v>553</v>
      </c>
    </row>
    <row r="150" spans="1:8">
      <c r="A150">
        <v>27726</v>
      </c>
      <c r="B150" s="2">
        <v>10016047</v>
      </c>
      <c r="C150" s="2" t="str">
        <f>IF(LEN(Table2[[#This Row],[Serial Number]]) &gt; 4, RIGHT(LEFT(Table2[[#This Row],[Special Instructions]], FIND("VIN CHANGE", Table2[[#This Row],[Special Instructions]]) + 28), 17), Table2[[#This Row],[Serial Number]])</f>
        <v>2B9B2TN25PA001844</v>
      </c>
      <c r="D150" t="s">
        <v>355</v>
      </c>
      <c r="E150" s="1">
        <v>44902</v>
      </c>
      <c r="F150" t="s">
        <v>356</v>
      </c>
      <c r="G150" t="s">
        <v>517</v>
      </c>
      <c r="H150" t="s">
        <v>553</v>
      </c>
    </row>
    <row r="151" spans="1:8">
      <c r="A151">
        <v>27727</v>
      </c>
      <c r="B151" s="2">
        <v>10015934</v>
      </c>
      <c r="C151" s="2" t="str">
        <f>IF(LEN(Table2[[#This Row],[Serial Number]]) &gt; 4, RIGHT(LEFT(Table2[[#This Row],[Special Instructions]], FIND("VIN CHANGE", Table2[[#This Row],[Special Instructions]]) + 28), 17), Table2[[#This Row],[Serial Number]])</f>
        <v>2B9B2TN27PA001845</v>
      </c>
      <c r="D151" t="s">
        <v>357</v>
      </c>
      <c r="E151" s="1">
        <v>44872</v>
      </c>
      <c r="F151" t="s">
        <v>358</v>
      </c>
      <c r="G151" t="s">
        <v>517</v>
      </c>
      <c r="H151" t="s">
        <v>567</v>
      </c>
    </row>
    <row r="152" spans="1:8">
      <c r="A152">
        <v>27728</v>
      </c>
      <c r="B152" s="2">
        <v>10016048</v>
      </c>
      <c r="C152" s="2" t="str">
        <f>IF(LEN(Table2[[#This Row],[Serial Number]]) &gt; 4, RIGHT(LEFT(Table2[[#This Row],[Special Instructions]], FIND("VIN CHANGE", Table2[[#This Row],[Special Instructions]]) + 28), 17), Table2[[#This Row],[Serial Number]])</f>
        <v>2B9B2TN29PA001846</v>
      </c>
      <c r="D152" t="s">
        <v>359</v>
      </c>
      <c r="E152" s="1">
        <v>44890</v>
      </c>
      <c r="F152" t="s">
        <v>360</v>
      </c>
      <c r="G152" t="s">
        <v>517</v>
      </c>
      <c r="H152" t="s">
        <v>567</v>
      </c>
    </row>
    <row r="153" spans="1:8">
      <c r="A153">
        <v>27729</v>
      </c>
      <c r="B153" s="2">
        <v>10016050</v>
      </c>
      <c r="C153" s="2" t="str">
        <f>IF(LEN(Table2[[#This Row],[Serial Number]]) &gt; 4, RIGHT(LEFT(Table2[[#This Row],[Special Instructions]], FIND("VIN CHANGE", Table2[[#This Row],[Special Instructions]]) + 28), 17), Table2[[#This Row],[Serial Number]])</f>
        <v>2B9B2TR37PA001847</v>
      </c>
      <c r="D153" t="s">
        <v>361</v>
      </c>
      <c r="E153" s="1">
        <v>44890</v>
      </c>
      <c r="F153" t="s">
        <v>362</v>
      </c>
      <c r="G153" t="s">
        <v>517</v>
      </c>
      <c r="H153" t="s">
        <v>538</v>
      </c>
    </row>
    <row r="154" spans="1:8">
      <c r="A154">
        <v>27730</v>
      </c>
      <c r="B154" s="2">
        <v>10015932</v>
      </c>
      <c r="C154" s="2" t="str">
        <f>IF(LEN(Table2[[#This Row],[Serial Number]]) &gt; 4, RIGHT(LEFT(Table2[[#This Row],[Special Instructions]], FIND("VIN CHANGE", Table2[[#This Row],[Special Instructions]]) + 28), 17), Table2[[#This Row],[Serial Number]])</f>
        <v>2B9B2TR39PA001848</v>
      </c>
      <c r="D154" t="s">
        <v>363</v>
      </c>
      <c r="E154" s="1">
        <v>44872</v>
      </c>
      <c r="F154" t="s">
        <v>364</v>
      </c>
      <c r="G154" t="s">
        <v>517</v>
      </c>
      <c r="H154" t="s">
        <v>537</v>
      </c>
    </row>
    <row r="155" spans="1:8">
      <c r="A155">
        <v>27731</v>
      </c>
      <c r="B155" s="2" t="s">
        <v>11</v>
      </c>
      <c r="C155" s="2" t="str">
        <f>IF(LEN(Table2[[#This Row],[Serial Number]]) &gt; 4, RIGHT(LEFT(Table2[[#This Row],[Special Instructions]], FIND("VIN CHANGE", Table2[[#This Row],[Special Instructions]]) + 28), 17), Table2[[#This Row],[Serial Number]])</f>
        <v>2B9B6DL24PA001850</v>
      </c>
      <c r="D155" t="s">
        <v>375</v>
      </c>
      <c r="E155" s="1">
        <v>44939</v>
      </c>
      <c r="F155" t="s">
        <v>376</v>
      </c>
      <c r="G155" t="s">
        <v>517</v>
      </c>
      <c r="H155" t="s">
        <v>565</v>
      </c>
    </row>
    <row r="156" spans="1:8">
      <c r="A156">
        <v>27734</v>
      </c>
      <c r="B156" s="2">
        <v>10016055</v>
      </c>
      <c r="C156" s="2" t="str">
        <f>IF(LEN(Table2[[#This Row],[Serial Number]]) &gt; 4, RIGHT(LEFT(Table2[[#This Row],[Special Instructions]], FIND("VIN CHANGE", Table2[[#This Row],[Special Instructions]]) + 28), 17), Table2[[#This Row],[Serial Number]])</f>
        <v>2B9B6GY37PA001859</v>
      </c>
      <c r="D156" t="s">
        <v>175</v>
      </c>
      <c r="E156" s="1">
        <v>44907</v>
      </c>
      <c r="F156" t="s">
        <v>176</v>
      </c>
      <c r="G156" t="s">
        <v>518</v>
      </c>
      <c r="H156" t="s">
        <v>547</v>
      </c>
    </row>
    <row r="157" spans="1:8">
      <c r="A157">
        <v>27735</v>
      </c>
      <c r="B157" s="2">
        <v>10016051</v>
      </c>
      <c r="C157" s="2" t="str">
        <f>IF(LEN(Table2[[#This Row],[Serial Number]]) &gt; 4, RIGHT(LEFT(Table2[[#This Row],[Special Instructions]], FIND("VIN CHANGE", Table2[[#This Row],[Special Instructions]]) + 28), 17), Table2[[#This Row],[Serial Number]])</f>
        <v>2B9B2TR30PA001849</v>
      </c>
      <c r="D157" t="s">
        <v>365</v>
      </c>
      <c r="E157" s="1">
        <v>44897</v>
      </c>
      <c r="F157" t="s">
        <v>366</v>
      </c>
      <c r="G157" t="s">
        <v>517</v>
      </c>
      <c r="H157" t="s">
        <v>537</v>
      </c>
    </row>
    <row r="158" spans="1:8">
      <c r="A158">
        <v>27738</v>
      </c>
      <c r="B158" s="2" t="s">
        <v>11</v>
      </c>
      <c r="C158" s="2" t="str">
        <f>IF(LEN(Table2[[#This Row],[Serial Number]]) &gt; 4, RIGHT(LEFT(Table2[[#This Row],[Special Instructions]], FIND("VIN CHANGE", Table2[[#This Row],[Special Instructions]]) + 28), 17), Table2[[#This Row],[Serial Number]])</f>
        <v>2B9B6VY27RA001004</v>
      </c>
      <c r="D158" t="s">
        <v>367</v>
      </c>
      <c r="E158" s="1">
        <v>44958</v>
      </c>
      <c r="F158" t="s">
        <v>368</v>
      </c>
      <c r="G158" t="s">
        <v>525</v>
      </c>
      <c r="H158" t="s">
        <v>571</v>
      </c>
    </row>
    <row r="159" spans="1:8">
      <c r="A159">
        <v>27739</v>
      </c>
      <c r="B159" s="2" t="s">
        <v>11</v>
      </c>
      <c r="C159" s="2" t="str">
        <f>IF(LEN(Table2[[#This Row],[Serial Number]]) &gt; 4, RIGHT(LEFT(Table2[[#This Row],[Special Instructions]], FIND("VIN CHANGE", Table2[[#This Row],[Special Instructions]]) + 28), 17), Table2[[#This Row],[Serial Number]])</f>
        <v>2B9B6VY29RA001005</v>
      </c>
      <c r="D159" t="s">
        <v>369</v>
      </c>
      <c r="E159" s="1">
        <v>44964</v>
      </c>
      <c r="F159" t="s">
        <v>370</v>
      </c>
      <c r="G159" t="s">
        <v>525</v>
      </c>
      <c r="H159" t="s">
        <v>571</v>
      </c>
    </row>
    <row r="160" spans="1:8">
      <c r="A160">
        <v>27740</v>
      </c>
      <c r="B160" s="2" t="s">
        <v>11</v>
      </c>
      <c r="C160" s="2" t="str">
        <f>IF(LEN(Table2[[#This Row],[Serial Number]]) &gt; 4, RIGHT(LEFT(Table2[[#This Row],[Special Instructions]], FIND("VIN CHANGE", Table2[[#This Row],[Special Instructions]]) + 28), 17), Table2[[#This Row],[Serial Number]])</f>
        <v>2B9B6VY20RA001006</v>
      </c>
      <c r="D160" t="s">
        <v>371</v>
      </c>
      <c r="E160" s="1">
        <v>45089</v>
      </c>
      <c r="F160" t="s">
        <v>372</v>
      </c>
      <c r="G160" t="s">
        <v>525</v>
      </c>
      <c r="H160" t="s">
        <v>571</v>
      </c>
    </row>
    <row r="161" spans="1:8">
      <c r="A161">
        <v>27741</v>
      </c>
      <c r="B161" s="2" t="s">
        <v>11</v>
      </c>
      <c r="C161" s="2" t="str">
        <f>IF(LEN(Table2[[#This Row],[Serial Number]]) &gt; 4, RIGHT(LEFT(Table2[[#This Row],[Special Instructions]], FIND("VIN CHANGE", Table2[[#This Row],[Special Instructions]]) + 28), 17), Table2[[#This Row],[Serial Number]])</f>
        <v>2B9B6VY22RA001007</v>
      </c>
      <c r="D161" t="s">
        <v>373</v>
      </c>
      <c r="E161" s="1">
        <v>45096</v>
      </c>
      <c r="F161" t="s">
        <v>374</v>
      </c>
      <c r="G161" t="s">
        <v>525</v>
      </c>
      <c r="H161" t="s">
        <v>571</v>
      </c>
    </row>
    <row r="162" spans="1:8">
      <c r="A162">
        <v>27743</v>
      </c>
      <c r="B162" s="2" t="s">
        <v>11</v>
      </c>
      <c r="C162" s="2" t="str">
        <f>IF(LEN(Table2[[#This Row],[Serial Number]]) &gt; 4, RIGHT(LEFT(Table2[[#This Row],[Special Instructions]], FIND("VIN CHANGE", Table2[[#This Row],[Special Instructions]]) + 28), 17), Table2[[#This Row],[Serial Number]])</f>
        <v>2B9B6DL26PA001851</v>
      </c>
      <c r="D162" t="s">
        <v>377</v>
      </c>
      <c r="E162" s="1">
        <v>44944</v>
      </c>
      <c r="F162" t="s">
        <v>378</v>
      </c>
      <c r="G162" t="s">
        <v>517</v>
      </c>
      <c r="H162" t="s">
        <v>565</v>
      </c>
    </row>
    <row r="163" spans="1:8">
      <c r="A163">
        <v>27748</v>
      </c>
      <c r="B163" s="2">
        <v>10016065</v>
      </c>
      <c r="C163" s="2">
        <f>IF(LEN(Table2[[#This Row],[Serial Number]]) &gt; 4, RIGHT(LEFT(Table2[[#This Row],[Special Instructions]], FIND("VIN CHANGE", Table2[[#This Row],[Special Instructions]]) + 28), 17), Table2[[#This Row],[Serial Number]])</f>
        <v>9663</v>
      </c>
      <c r="D163">
        <v>9663</v>
      </c>
      <c r="E163" s="1">
        <v>44880</v>
      </c>
      <c r="F163" t="s">
        <v>11</v>
      </c>
      <c r="G163" t="s">
        <v>527</v>
      </c>
      <c r="H163" t="s">
        <v>572</v>
      </c>
    </row>
    <row r="164" spans="1:8">
      <c r="A164">
        <v>27754</v>
      </c>
      <c r="B164" s="2">
        <v>10015913</v>
      </c>
      <c r="C164" s="2" t="str">
        <f>IF(LEN(Table2[[#This Row],[Serial Number]]) &gt; 4, RIGHT(LEFT(Table2[[#This Row],[Special Instructions]], FIND("VIN CHANGE", Table2[[#This Row],[Special Instructions]]) + 28), 17), Table2[[#This Row],[Serial Number]])</f>
        <v>2B9B2TM24PA001853</v>
      </c>
      <c r="D164" t="s">
        <v>381</v>
      </c>
      <c r="E164" s="1">
        <v>44851</v>
      </c>
      <c r="F164" t="s">
        <v>382</v>
      </c>
      <c r="G164" t="s">
        <v>520</v>
      </c>
      <c r="H164" t="s">
        <v>552</v>
      </c>
    </row>
    <row r="165" spans="1:8">
      <c r="A165">
        <v>27756</v>
      </c>
      <c r="B165" s="2">
        <v>10015927</v>
      </c>
      <c r="C165" s="2" t="str">
        <f>IF(LEN(Table2[[#This Row],[Serial Number]]) &gt; 4, RIGHT(LEFT(Table2[[#This Row],[Special Instructions]], FIND("VIN CHANGE", Table2[[#This Row],[Special Instructions]]) + 28), 17), Table2[[#This Row],[Serial Number]])</f>
        <v>2B9B2TM22PA001866</v>
      </c>
      <c r="D165" t="s">
        <v>401</v>
      </c>
      <c r="E165" s="1">
        <v>44841</v>
      </c>
      <c r="F165" t="s">
        <v>402</v>
      </c>
      <c r="G165" t="s">
        <v>528</v>
      </c>
      <c r="H165" t="s">
        <v>566</v>
      </c>
    </row>
    <row r="166" spans="1:8">
      <c r="A166">
        <v>27759</v>
      </c>
      <c r="B166" s="2">
        <v>10015914</v>
      </c>
      <c r="C166" s="2" t="str">
        <f>IF(LEN(Table2[[#This Row],[Serial Number]]) &gt; 4, RIGHT(LEFT(Table2[[#This Row],[Special Instructions]], FIND("VIN CHANGE", Table2[[#This Row],[Special Instructions]]) + 28), 17), Table2[[#This Row],[Serial Number]])</f>
        <v>2B9B2TM26PA001854</v>
      </c>
      <c r="D166" t="s">
        <v>383</v>
      </c>
      <c r="E166" s="1">
        <v>44853</v>
      </c>
      <c r="F166" t="s">
        <v>384</v>
      </c>
      <c r="G166" t="s">
        <v>520</v>
      </c>
      <c r="H166" t="s">
        <v>552</v>
      </c>
    </row>
    <row r="167" spans="1:8">
      <c r="A167">
        <v>27766</v>
      </c>
      <c r="B167" s="2">
        <v>10016061</v>
      </c>
      <c r="C167" s="2" t="str">
        <f>IF(LEN(Table2[[#This Row],[Serial Number]]) &gt; 4, RIGHT(LEFT(Table2[[#This Row],[Special Instructions]], FIND("VIN CHANGE", Table2[[#This Row],[Special Instructions]]) + 28), 17), Table2[[#This Row],[Serial Number]])</f>
        <v>2B9B6LW35PA001855</v>
      </c>
      <c r="D167" t="s">
        <v>387</v>
      </c>
      <c r="E167" s="1">
        <v>44929</v>
      </c>
      <c r="F167" t="s">
        <v>388</v>
      </c>
      <c r="G167" t="s">
        <v>517</v>
      </c>
      <c r="H167" t="s">
        <v>573</v>
      </c>
    </row>
    <row r="168" spans="1:8">
      <c r="A168">
        <v>27771</v>
      </c>
      <c r="B168" s="2">
        <v>10016062</v>
      </c>
      <c r="C168" s="2" t="str">
        <f>IF(LEN(Table2[[#This Row],[Serial Number]]) &gt; 4, RIGHT(LEFT(Table2[[#This Row],[Special Instructions]], FIND("VIN CHANGE", Table2[[#This Row],[Special Instructions]]) + 28), 17), Table2[[#This Row],[Serial Number]])</f>
        <v>2B9B6LW37PA001856</v>
      </c>
      <c r="D168" t="s">
        <v>389</v>
      </c>
      <c r="E168" s="1">
        <v>44937</v>
      </c>
      <c r="F168" t="s">
        <v>390</v>
      </c>
      <c r="G168" t="s">
        <v>517</v>
      </c>
      <c r="H168" t="s">
        <v>573</v>
      </c>
    </row>
    <row r="169" spans="1:8">
      <c r="A169">
        <v>27772</v>
      </c>
      <c r="B169" s="2">
        <v>10015970</v>
      </c>
      <c r="C169" s="2" t="str">
        <f>IF(LEN(Table2[[#This Row],[Serial Number]]) &gt; 4, RIGHT(LEFT(Table2[[#This Row],[Special Instructions]], FIND("VIN CHANGE", Table2[[#This Row],[Special Instructions]]) + 28), 17), Table2[[#This Row],[Serial Number]])</f>
        <v>2XBB2TR33PA001955</v>
      </c>
      <c r="D169" t="s">
        <v>275</v>
      </c>
      <c r="E169" s="1">
        <v>44845</v>
      </c>
      <c r="F169" t="s">
        <v>276</v>
      </c>
      <c r="G169" t="s">
        <v>514</v>
      </c>
      <c r="H169" t="s">
        <v>537</v>
      </c>
    </row>
    <row r="170" spans="1:8">
      <c r="A170">
        <v>27773</v>
      </c>
      <c r="B170" s="2">
        <v>10015967</v>
      </c>
      <c r="C170" s="2" t="str">
        <f>IF(LEN(Table2[[#This Row],[Serial Number]]) &gt; 4, RIGHT(LEFT(Table2[[#This Row],[Special Instructions]], FIND("VIN CHANGE", Table2[[#This Row],[Special Instructions]]) + 28), 17), Table2[[#This Row],[Serial Number]])</f>
        <v>2XBB2TR3XPA001953</v>
      </c>
      <c r="D170" t="s">
        <v>269</v>
      </c>
      <c r="E170" s="1">
        <v>44841</v>
      </c>
      <c r="F170" t="s">
        <v>270</v>
      </c>
      <c r="G170" t="s">
        <v>514</v>
      </c>
      <c r="H170" t="s">
        <v>537</v>
      </c>
    </row>
    <row r="171" spans="1:8">
      <c r="A171">
        <v>27775</v>
      </c>
      <c r="B171" s="2">
        <v>10015975</v>
      </c>
      <c r="C171" s="2" t="str">
        <f>IF(LEN(Table2[[#This Row],[Serial Number]]) &gt; 4, RIGHT(LEFT(Table2[[#This Row],[Special Instructions]], FIND("VIN CHANGE", Table2[[#This Row],[Special Instructions]]) + 28), 17), Table2[[#This Row],[Serial Number]])</f>
        <v>2XBB2TR37PA001960</v>
      </c>
      <c r="D171" t="s">
        <v>291</v>
      </c>
      <c r="E171" s="1">
        <v>44867</v>
      </c>
      <c r="F171" t="s">
        <v>292</v>
      </c>
      <c r="G171" t="s">
        <v>514</v>
      </c>
      <c r="H171" t="s">
        <v>537</v>
      </c>
    </row>
    <row r="172" spans="1:8">
      <c r="A172">
        <v>27776</v>
      </c>
      <c r="B172" s="2">
        <v>10015978</v>
      </c>
      <c r="C172" s="2" t="str">
        <f>IF(LEN(Table2[[#This Row],[Serial Number]]) &gt; 4, RIGHT(LEFT(Table2[[#This Row],[Special Instructions]], FIND("VIN CHANGE", Table2[[#This Row],[Special Instructions]]) + 28), 17), Table2[[#This Row],[Serial Number]])</f>
        <v>2XBB2TR30PA001962</v>
      </c>
      <c r="D172" t="s">
        <v>283</v>
      </c>
      <c r="E172" s="1">
        <v>44868</v>
      </c>
      <c r="F172" t="s">
        <v>284</v>
      </c>
      <c r="G172" t="s">
        <v>514</v>
      </c>
      <c r="H172" t="s">
        <v>537</v>
      </c>
    </row>
    <row r="173" spans="1:8">
      <c r="A173">
        <v>27778</v>
      </c>
      <c r="B173" s="2">
        <v>10015928</v>
      </c>
      <c r="C173" s="2" t="str">
        <f>IF(LEN(Table2[[#This Row],[Serial Number]]) &gt; 4, RIGHT(LEFT(Table2[[#This Row],[Special Instructions]], FIND("VIN CHANGE", Table2[[#This Row],[Special Instructions]]) + 28), 17), Table2[[#This Row],[Serial Number]])</f>
        <v>2B9B2TP35PA001865</v>
      </c>
      <c r="D173" t="s">
        <v>399</v>
      </c>
      <c r="E173" s="1">
        <v>44846</v>
      </c>
      <c r="F173" t="s">
        <v>400</v>
      </c>
      <c r="G173" t="s">
        <v>528</v>
      </c>
      <c r="H173" t="s">
        <v>566</v>
      </c>
    </row>
    <row r="174" spans="1:8">
      <c r="A174">
        <v>27780</v>
      </c>
      <c r="B174" s="2">
        <v>10015929</v>
      </c>
      <c r="C174" s="2" t="str">
        <f>IF(LEN(Table2[[#This Row],[Serial Number]]) &gt; 4, RIGHT(LEFT(Table2[[#This Row],[Special Instructions]], FIND("VIN CHANGE", Table2[[#This Row],[Special Instructions]]) + 28), 17), Table2[[#This Row],[Serial Number]])</f>
        <v>2B9B6EY35PA001864</v>
      </c>
      <c r="D174" t="s">
        <v>193</v>
      </c>
      <c r="E174" s="1">
        <v>44848</v>
      </c>
      <c r="F174" t="s">
        <v>194</v>
      </c>
      <c r="G174" t="s">
        <v>518</v>
      </c>
      <c r="H174" t="s">
        <v>561</v>
      </c>
    </row>
    <row r="175" spans="1:8">
      <c r="A175">
        <v>27781</v>
      </c>
      <c r="B175" s="2">
        <v>10015981</v>
      </c>
      <c r="C175" s="2" t="str">
        <f>IF(LEN(Table2[[#This Row],[Serial Number]]) &gt; 4, RIGHT(LEFT(Table2[[#This Row],[Special Instructions]], FIND("VIN CHANGE", Table2[[#This Row],[Special Instructions]]) + 28), 17), Table2[[#This Row],[Serial Number]])</f>
        <v>2B9B2TR32PA001867</v>
      </c>
      <c r="D175" t="s">
        <v>403</v>
      </c>
      <c r="E175" s="1">
        <v>44862</v>
      </c>
      <c r="F175" t="s">
        <v>404</v>
      </c>
      <c r="G175" t="s">
        <v>517</v>
      </c>
      <c r="H175" t="s">
        <v>562</v>
      </c>
    </row>
    <row r="176" spans="1:8">
      <c r="A176">
        <v>27783</v>
      </c>
      <c r="B176" s="2">
        <v>10015998</v>
      </c>
      <c r="C176" s="2" t="str">
        <f>IF(LEN(Table2[[#This Row],[Serial Number]]) &gt; 4, RIGHT(LEFT(Table2[[#This Row],[Special Instructions]], FIND("VIN CHANGE", Table2[[#This Row],[Special Instructions]]) + 28), 17), Table2[[#This Row],[Serial Number]])</f>
        <v>2B9B2TR37PA001895</v>
      </c>
      <c r="D176" t="s">
        <v>423</v>
      </c>
      <c r="E176" s="1">
        <v>44886</v>
      </c>
      <c r="F176" t="s">
        <v>424</v>
      </c>
      <c r="G176" t="s">
        <v>517</v>
      </c>
      <c r="H176" t="s">
        <v>562</v>
      </c>
    </row>
    <row r="177" spans="1:8">
      <c r="A177">
        <v>27784</v>
      </c>
      <c r="B177" s="2">
        <v>10015986</v>
      </c>
      <c r="C177" s="2" t="str">
        <f>IF(LEN(Table2[[#This Row],[Serial Number]]) &gt; 4, RIGHT(LEFT(Table2[[#This Row],[Special Instructions]], FIND("VIN CHANGE", Table2[[#This Row],[Special Instructions]]) + 28), 17), Table2[[#This Row],[Serial Number]])</f>
        <v>2B9B2TR36PA001869</v>
      </c>
      <c r="D177" t="s">
        <v>407</v>
      </c>
      <c r="E177" s="1">
        <v>44880</v>
      </c>
      <c r="F177" t="s">
        <v>408</v>
      </c>
      <c r="G177" t="s">
        <v>517</v>
      </c>
      <c r="H177" t="s">
        <v>560</v>
      </c>
    </row>
    <row r="178" spans="1:8">
      <c r="A178">
        <v>27785</v>
      </c>
      <c r="B178" s="2">
        <v>10015996</v>
      </c>
      <c r="C178" s="2" t="str">
        <f>IF(LEN(Table2[[#This Row],[Serial Number]]) &gt; 4, RIGHT(LEFT(Table2[[#This Row],[Special Instructions]], FIND("VIN CHANGE", Table2[[#This Row],[Special Instructions]]) + 28), 17), Table2[[#This Row],[Serial Number]])</f>
        <v>2B9B2TR30PA001897</v>
      </c>
      <c r="D178" t="s">
        <v>427</v>
      </c>
      <c r="E178" s="1">
        <v>44880</v>
      </c>
      <c r="F178" t="s">
        <v>428</v>
      </c>
      <c r="G178" t="s">
        <v>517</v>
      </c>
      <c r="H178" t="s">
        <v>560</v>
      </c>
    </row>
    <row r="179" spans="1:8">
      <c r="A179">
        <v>27786</v>
      </c>
      <c r="B179" s="2">
        <v>10015953</v>
      </c>
      <c r="C179" s="2" t="str">
        <f>IF(LEN(Table2[[#This Row],[Serial Number]]) &gt; 4, RIGHT(LEFT(Table2[[#This Row],[Special Instructions]], FIND("VIN CHANGE", Table2[[#This Row],[Special Instructions]]) + 28), 17), Table2[[#This Row],[Serial Number]])</f>
        <v>2B9B2TR34PA001871</v>
      </c>
      <c r="D179" t="s">
        <v>411</v>
      </c>
      <c r="E179" s="1">
        <v>44854</v>
      </c>
      <c r="F179" t="s">
        <v>412</v>
      </c>
      <c r="G179" t="s">
        <v>517</v>
      </c>
      <c r="H179" t="s">
        <v>537</v>
      </c>
    </row>
    <row r="180" spans="1:8">
      <c r="A180">
        <v>27788</v>
      </c>
      <c r="B180" s="2">
        <v>10015940</v>
      </c>
      <c r="C180" s="2" t="str">
        <f>IF(LEN(Table2[[#This Row],[Serial Number]]) &gt; 4, RIGHT(LEFT(Table2[[#This Row],[Special Instructions]], FIND("VIN CHANGE", Table2[[#This Row],[Special Instructions]]) + 28), 17), Table2[[#This Row],[Serial Number]])</f>
        <v>2B9B2TP36PA001874</v>
      </c>
      <c r="D180" t="s">
        <v>413</v>
      </c>
      <c r="E180" s="1">
        <v>44855</v>
      </c>
      <c r="F180" t="s">
        <v>414</v>
      </c>
      <c r="G180" t="s">
        <v>517</v>
      </c>
      <c r="H180" t="s">
        <v>540</v>
      </c>
    </row>
    <row r="181" spans="1:8">
      <c r="A181">
        <v>27789</v>
      </c>
      <c r="B181" s="2">
        <v>10016008</v>
      </c>
      <c r="C181" s="2" t="str">
        <f>IF(LEN(Table2[[#This Row],[Serial Number]]) &gt; 4, RIGHT(LEFT(Table2[[#This Row],[Special Instructions]], FIND("VIN CHANGE", Table2[[#This Row],[Special Instructions]]) + 28), 17), Table2[[#This Row],[Serial Number]])</f>
        <v>2B9B2TP35PA001901</v>
      </c>
      <c r="D181" t="s">
        <v>431</v>
      </c>
      <c r="E181" s="1">
        <v>44897</v>
      </c>
      <c r="F181" t="s">
        <v>432</v>
      </c>
      <c r="G181" t="s">
        <v>517</v>
      </c>
      <c r="H181" t="s">
        <v>540</v>
      </c>
    </row>
    <row r="182" spans="1:8">
      <c r="A182">
        <v>27791</v>
      </c>
      <c r="B182" s="2">
        <v>10016056</v>
      </c>
      <c r="C182" s="2" t="str">
        <f>IF(LEN(Table2[[#This Row],[Serial Number]]) &gt; 4, RIGHT(LEFT(Table2[[#This Row],[Special Instructions]], FIND("VIN CHANGE", Table2[[#This Row],[Special Instructions]]) + 28), 17), Table2[[#This Row],[Serial Number]])</f>
        <v>2B9B6GY33PA001860</v>
      </c>
      <c r="D182" t="s">
        <v>177</v>
      </c>
      <c r="E182" s="1">
        <v>44915</v>
      </c>
      <c r="F182" t="s">
        <v>178</v>
      </c>
      <c r="G182" t="s">
        <v>518</v>
      </c>
      <c r="H182" t="s">
        <v>547</v>
      </c>
    </row>
    <row r="183" spans="1:8">
      <c r="A183">
        <v>27794</v>
      </c>
      <c r="B183" s="2">
        <v>10015956</v>
      </c>
      <c r="C183" s="2" t="str">
        <f>IF(LEN(Table2[[#This Row],[Serial Number]]) &gt; 4, RIGHT(LEFT(Table2[[#This Row],[Special Instructions]], FIND("VIN CHANGE", Table2[[#This Row],[Special Instructions]]) + 28), 17), Table2[[#This Row],[Serial Number]])</f>
        <v>2XBB6EY36PA001952</v>
      </c>
      <c r="D183" t="s">
        <v>421</v>
      </c>
      <c r="E183" s="1">
        <v>44858</v>
      </c>
      <c r="F183" t="s">
        <v>422</v>
      </c>
      <c r="G183" t="s">
        <v>529</v>
      </c>
      <c r="H183" t="s">
        <v>539</v>
      </c>
    </row>
    <row r="184" spans="1:8">
      <c r="A184">
        <v>27795</v>
      </c>
      <c r="B184" s="2">
        <v>10015955</v>
      </c>
      <c r="C184" s="2" t="str">
        <f>IF(LEN(Table2[[#This Row],[Serial Number]]) &gt; 4, RIGHT(LEFT(Table2[[#This Row],[Special Instructions]], FIND("VIN CHANGE", Table2[[#This Row],[Special Instructions]]) + 28), 17), Table2[[#This Row],[Serial Number]])</f>
        <v>2XBB2TR34PA001950</v>
      </c>
      <c r="D184" t="s">
        <v>415</v>
      </c>
      <c r="E184" s="1">
        <v>44840</v>
      </c>
      <c r="F184" t="s">
        <v>416</v>
      </c>
      <c r="G184" t="s">
        <v>529</v>
      </c>
      <c r="H184" t="s">
        <v>560</v>
      </c>
    </row>
    <row r="185" spans="1:8">
      <c r="A185">
        <v>27805</v>
      </c>
      <c r="B185" s="2">
        <v>10016015</v>
      </c>
      <c r="C185" s="2" t="str">
        <f>IF(LEN(Table2[[#This Row],[Serial Number]]) &gt; 4, RIGHT(LEFT(Table2[[#This Row],[Special Instructions]], FIND("VIN CHANGE", Table2[[#This Row],[Special Instructions]]) + 28), 17), Table2[[#This Row],[Serial Number]])</f>
        <v>2B9B6FY49PA001879</v>
      </c>
      <c r="D185" t="s">
        <v>161</v>
      </c>
      <c r="E185" s="1">
        <v>44867</v>
      </c>
      <c r="F185" t="s">
        <v>162</v>
      </c>
      <c r="G185" t="s">
        <v>523</v>
      </c>
      <c r="H185" t="s">
        <v>569</v>
      </c>
    </row>
    <row r="186" spans="1:8">
      <c r="A186">
        <v>27813</v>
      </c>
      <c r="B186" s="2">
        <v>10015946</v>
      </c>
      <c r="C186" s="2">
        <f>IF(LEN(Table2[[#This Row],[Serial Number]]) &gt; 4, RIGHT(LEFT(Table2[[#This Row],[Special Instructions]], FIND("VIN CHANGE", Table2[[#This Row],[Special Instructions]]) + 28), 17), Table2[[#This Row],[Serial Number]])</f>
        <v>9949</v>
      </c>
      <c r="D186">
        <v>9949</v>
      </c>
      <c r="E186" s="1">
        <v>44837</v>
      </c>
      <c r="F186" t="s">
        <v>11</v>
      </c>
      <c r="G186" t="s">
        <v>530</v>
      </c>
      <c r="H186" t="s">
        <v>574</v>
      </c>
    </row>
    <row r="187" spans="1:8">
      <c r="A187">
        <v>27814</v>
      </c>
      <c r="B187" s="2">
        <v>10015982</v>
      </c>
      <c r="C187" s="2" t="str">
        <f>IF(LEN(Table2[[#This Row],[Serial Number]]) &gt; 4, RIGHT(LEFT(Table2[[#This Row],[Special Instructions]], FIND("VIN CHANGE", Table2[[#This Row],[Special Instructions]]) + 28), 17), Table2[[#This Row],[Serial Number]])</f>
        <v>2B9B2TR34PA001868</v>
      </c>
      <c r="D187" t="s">
        <v>405</v>
      </c>
      <c r="E187" s="1">
        <v>44862</v>
      </c>
      <c r="F187" t="s">
        <v>406</v>
      </c>
      <c r="G187" t="s">
        <v>517</v>
      </c>
      <c r="H187" t="s">
        <v>562</v>
      </c>
    </row>
    <row r="188" spans="1:8">
      <c r="A188">
        <v>27815</v>
      </c>
      <c r="B188" s="2">
        <v>10015985</v>
      </c>
      <c r="C188" s="2" t="str">
        <f>IF(LEN(Table2[[#This Row],[Serial Number]]) &gt; 4, RIGHT(LEFT(Table2[[#This Row],[Special Instructions]], FIND("VIN CHANGE", Table2[[#This Row],[Special Instructions]]) + 28), 17), Table2[[#This Row],[Serial Number]])</f>
        <v>2B9B2TR32PA001870</v>
      </c>
      <c r="D188" t="s">
        <v>409</v>
      </c>
      <c r="E188" s="1">
        <v>44880</v>
      </c>
      <c r="F188" t="s">
        <v>410</v>
      </c>
      <c r="G188" t="s">
        <v>517</v>
      </c>
      <c r="H188" t="s">
        <v>560</v>
      </c>
    </row>
    <row r="189" spans="1:8">
      <c r="A189">
        <v>27816</v>
      </c>
      <c r="B189" s="2">
        <v>10015954</v>
      </c>
      <c r="C189" s="2" t="str">
        <f>IF(LEN(Table2[[#This Row],[Serial Number]]) &gt; 4, RIGHT(LEFT(Table2[[#This Row],[Special Instructions]], FIND("VIN CHANGE", Table2[[#This Row],[Special Instructions]]) + 28), 17), Table2[[#This Row],[Serial Number]])</f>
        <v>2B9B2TR36PA001872</v>
      </c>
      <c r="D189" t="s">
        <v>241</v>
      </c>
      <c r="E189" s="1">
        <v>44854</v>
      </c>
      <c r="F189" t="s">
        <v>242</v>
      </c>
      <c r="G189" t="s">
        <v>517</v>
      </c>
      <c r="H189" t="s">
        <v>537</v>
      </c>
    </row>
    <row r="190" spans="1:8">
      <c r="A190">
        <v>27819</v>
      </c>
      <c r="B190" s="2">
        <v>10015987</v>
      </c>
      <c r="C190" s="2" t="str">
        <f>IF(LEN(Table2[[#This Row],[Serial Number]]) &gt; 4, RIGHT(LEFT(Table2[[#This Row],[Special Instructions]], FIND("VIN CHANGE", Table2[[#This Row],[Special Instructions]]) + 28), 17), Table2[[#This Row],[Serial Number]])</f>
        <v>2B9B2TR34PA001899</v>
      </c>
      <c r="D190" t="s">
        <v>239</v>
      </c>
      <c r="E190" s="1">
        <v>44881</v>
      </c>
      <c r="F190" t="s">
        <v>240</v>
      </c>
      <c r="G190" t="s">
        <v>521</v>
      </c>
      <c r="H190" t="s">
        <v>560</v>
      </c>
    </row>
    <row r="191" spans="1:8">
      <c r="A191">
        <v>27820</v>
      </c>
      <c r="B191" s="2">
        <v>10016001</v>
      </c>
      <c r="C191" s="2" t="str">
        <f>IF(LEN(Table2[[#This Row],[Serial Number]]) &gt; 4, RIGHT(LEFT(Table2[[#This Row],[Special Instructions]], FIND("VIN CHANGE", Table2[[#This Row],[Special Instructions]]) + 28), 17), Table2[[#This Row],[Serial Number]])</f>
        <v>2B9B2TR37PA001914</v>
      </c>
      <c r="D191" t="s">
        <v>247</v>
      </c>
      <c r="E191" s="1">
        <v>44883</v>
      </c>
      <c r="F191" t="s">
        <v>248</v>
      </c>
      <c r="G191" t="s">
        <v>521</v>
      </c>
      <c r="H191" t="s">
        <v>560</v>
      </c>
    </row>
    <row r="192" spans="1:8">
      <c r="A192">
        <v>27821</v>
      </c>
      <c r="B192" s="2" t="s">
        <v>11</v>
      </c>
      <c r="C192" s="2" t="str">
        <f>IF(LEN(Table2[[#This Row],[Serial Number]]) &gt; 4, RIGHT(LEFT(Table2[[#This Row],[Special Instructions]], FIND("VIN CHANGE", Table2[[#This Row],[Special Instructions]]) + 28), 17), Table2[[#This Row],[Serial Number]])</f>
        <v>2B9B6LX4XPA001924</v>
      </c>
      <c r="D192" t="s">
        <v>465</v>
      </c>
      <c r="E192" s="1">
        <v>44939</v>
      </c>
      <c r="F192" t="s">
        <v>466</v>
      </c>
      <c r="G192" t="s">
        <v>517</v>
      </c>
      <c r="H192" t="s">
        <v>575</v>
      </c>
    </row>
    <row r="193" spans="1:8">
      <c r="A193">
        <v>27822</v>
      </c>
      <c r="B193" s="2">
        <v>10015957</v>
      </c>
      <c r="C193" s="2" t="str">
        <f>IF(LEN(Table2[[#This Row],[Serial Number]]) &gt; 4, RIGHT(LEFT(Table2[[#This Row],[Special Instructions]], FIND("VIN CHANGE", Table2[[#This Row],[Special Instructions]]) + 28), 17), Table2[[#This Row],[Serial Number]])</f>
        <v>2XBB2TR38PA001949</v>
      </c>
      <c r="D193" t="s">
        <v>417</v>
      </c>
      <c r="E193" s="1">
        <v>44839</v>
      </c>
      <c r="F193" t="s">
        <v>418</v>
      </c>
      <c r="G193" t="s">
        <v>529</v>
      </c>
      <c r="H193" t="s">
        <v>560</v>
      </c>
    </row>
    <row r="194" spans="1:8">
      <c r="A194">
        <v>27823</v>
      </c>
      <c r="B194" s="2">
        <v>10015958</v>
      </c>
      <c r="C194" s="2" t="str">
        <f>IF(LEN(Table2[[#This Row],[Serial Number]]) &gt; 4, RIGHT(LEFT(Table2[[#This Row],[Special Instructions]], FIND("VIN CHANGE", Table2[[#This Row],[Special Instructions]]) + 28), 17), Table2[[#This Row],[Serial Number]])</f>
        <v>2XBB2TR36PA001951</v>
      </c>
      <c r="D194" t="s">
        <v>419</v>
      </c>
      <c r="E194" s="1">
        <v>44840</v>
      </c>
      <c r="F194" t="s">
        <v>420</v>
      </c>
      <c r="G194" t="s">
        <v>529</v>
      </c>
      <c r="H194" t="s">
        <v>560</v>
      </c>
    </row>
    <row r="195" spans="1:8">
      <c r="A195">
        <v>27829</v>
      </c>
      <c r="B195" s="2">
        <v>10016016</v>
      </c>
      <c r="C195" s="2" t="str">
        <f>IF(LEN(Table2[[#This Row],[Serial Number]]) &gt; 4, RIGHT(LEFT(Table2[[#This Row],[Special Instructions]], FIND("VIN CHANGE", Table2[[#This Row],[Special Instructions]]) + 28), 17), Table2[[#This Row],[Serial Number]])</f>
        <v>2B9B6FY45PA001880</v>
      </c>
      <c r="D195" t="s">
        <v>165</v>
      </c>
      <c r="E195" s="1">
        <v>44874</v>
      </c>
      <c r="F195" t="s">
        <v>166</v>
      </c>
      <c r="G195" t="s">
        <v>523</v>
      </c>
      <c r="H195" t="s">
        <v>569</v>
      </c>
    </row>
    <row r="196" spans="1:8">
      <c r="A196">
        <v>27830</v>
      </c>
      <c r="B196" s="2">
        <v>10016014</v>
      </c>
      <c r="C196" s="2" t="str">
        <f>IF(LEN(Table2[[#This Row],[Serial Number]]) &gt; 4, RIGHT(LEFT(Table2[[#This Row],[Special Instructions]], FIND("VIN CHANGE", Table2[[#This Row],[Special Instructions]]) + 28), 17), Table2[[#This Row],[Serial Number]])</f>
        <v>2B9B6FY47PA001881</v>
      </c>
      <c r="D196" t="s">
        <v>163</v>
      </c>
      <c r="E196" s="1">
        <v>44882</v>
      </c>
      <c r="F196" t="s">
        <v>164</v>
      </c>
      <c r="G196" t="s">
        <v>523</v>
      </c>
      <c r="H196" t="s">
        <v>569</v>
      </c>
    </row>
    <row r="197" spans="1:8">
      <c r="A197">
        <v>27832</v>
      </c>
      <c r="B197" s="2">
        <v>10015983</v>
      </c>
      <c r="C197" s="2" t="str">
        <f>IF(LEN(Table2[[#This Row],[Serial Number]]) &gt; 4, RIGHT(LEFT(Table2[[#This Row],[Special Instructions]], FIND("VIN CHANGE", Table2[[#This Row],[Special Instructions]]) + 28), 17), Table2[[#This Row],[Serial Number]])</f>
        <v>2B9B2TP35PA001882</v>
      </c>
      <c r="D197" t="s">
        <v>249</v>
      </c>
      <c r="E197" s="1">
        <v>44874</v>
      </c>
      <c r="F197" t="s">
        <v>250</v>
      </c>
      <c r="G197" t="s">
        <v>521</v>
      </c>
      <c r="H197" t="s">
        <v>540</v>
      </c>
    </row>
    <row r="198" spans="1:8">
      <c r="A198">
        <v>27833</v>
      </c>
      <c r="B198" s="2">
        <v>10015984</v>
      </c>
      <c r="C198" s="2" t="str">
        <f>IF(LEN(Table2[[#This Row],[Serial Number]]) &gt; 4, RIGHT(LEFT(Table2[[#This Row],[Special Instructions]], FIND("VIN CHANGE", Table2[[#This Row],[Special Instructions]]) + 28), 17), Table2[[#This Row],[Serial Number]])</f>
        <v>2B9B2TR37PA001900</v>
      </c>
      <c r="D198" t="s">
        <v>251</v>
      </c>
      <c r="E198" s="1">
        <v>44865</v>
      </c>
      <c r="F198" t="s">
        <v>252</v>
      </c>
      <c r="G198" t="s">
        <v>521</v>
      </c>
      <c r="H198" t="s">
        <v>538</v>
      </c>
    </row>
    <row r="199" spans="1:8">
      <c r="A199">
        <v>27835</v>
      </c>
      <c r="B199" s="2">
        <v>10015968</v>
      </c>
      <c r="C199" s="2" t="str">
        <f>IF(LEN(Table2[[#This Row],[Serial Number]]) &gt; 4, RIGHT(LEFT(Table2[[#This Row],[Special Instructions]], FIND("VIN CHANGE", Table2[[#This Row],[Special Instructions]]) + 28), 17), Table2[[#This Row],[Serial Number]])</f>
        <v>2XBB2TR31PA001954</v>
      </c>
      <c r="D199" t="s">
        <v>271</v>
      </c>
      <c r="E199" s="1">
        <v>44841</v>
      </c>
      <c r="F199" t="s">
        <v>272</v>
      </c>
      <c r="G199" t="s">
        <v>514</v>
      </c>
      <c r="H199" t="s">
        <v>537</v>
      </c>
    </row>
    <row r="200" spans="1:8">
      <c r="A200">
        <v>27836</v>
      </c>
      <c r="B200" s="2">
        <v>10015969</v>
      </c>
      <c r="C200" s="2" t="str">
        <f>IF(LEN(Table2[[#This Row],[Serial Number]]) &gt; 4, RIGHT(LEFT(Table2[[#This Row],[Special Instructions]], FIND("VIN CHANGE", Table2[[#This Row],[Special Instructions]]) + 28), 17), Table2[[#This Row],[Serial Number]])</f>
        <v>2XBB2TR35PA001956</v>
      </c>
      <c r="D200" t="s">
        <v>273</v>
      </c>
      <c r="E200" s="1">
        <v>44845</v>
      </c>
      <c r="F200" t="s">
        <v>274</v>
      </c>
      <c r="G200" t="s">
        <v>514</v>
      </c>
      <c r="H200" t="s">
        <v>537</v>
      </c>
    </row>
    <row r="201" spans="1:8">
      <c r="A201">
        <v>27837</v>
      </c>
      <c r="B201" s="2">
        <v>10015971</v>
      </c>
      <c r="C201" s="2" t="str">
        <f>IF(LEN(Table2[[#This Row],[Serial Number]]) &gt; 4, RIGHT(LEFT(Table2[[#This Row],[Special Instructions]], FIND("VIN CHANGE", Table2[[#This Row],[Special Instructions]]) + 28), 17), Table2[[#This Row],[Serial Number]])</f>
        <v>2XBB2TR37PA001957</v>
      </c>
      <c r="D201" t="s">
        <v>277</v>
      </c>
      <c r="E201" s="1">
        <v>44846</v>
      </c>
      <c r="F201" t="s">
        <v>278</v>
      </c>
      <c r="G201" t="s">
        <v>514</v>
      </c>
      <c r="H201" t="s">
        <v>537</v>
      </c>
    </row>
    <row r="202" spans="1:8">
      <c r="A202">
        <v>27838</v>
      </c>
      <c r="B202" s="2">
        <v>10015972</v>
      </c>
      <c r="C202" s="2" t="str">
        <f>IF(LEN(Table2[[#This Row],[Serial Number]]) &gt; 4, RIGHT(LEFT(Table2[[#This Row],[Special Instructions]], FIND("VIN CHANGE", Table2[[#This Row],[Special Instructions]]) + 28), 17), Table2[[#This Row],[Serial Number]])</f>
        <v>2XBB2TR39PA001958</v>
      </c>
      <c r="D202" t="s">
        <v>279</v>
      </c>
      <c r="E202" s="1">
        <v>44846</v>
      </c>
      <c r="F202" t="s">
        <v>280</v>
      </c>
      <c r="G202" t="s">
        <v>514</v>
      </c>
      <c r="H202" t="s">
        <v>537</v>
      </c>
    </row>
    <row r="203" spans="1:8">
      <c r="A203">
        <v>27839</v>
      </c>
      <c r="B203" s="2">
        <v>10015979</v>
      </c>
      <c r="C203" s="2" t="str">
        <f>IF(LEN(Table2[[#This Row],[Serial Number]]) &gt; 4, RIGHT(LEFT(Table2[[#This Row],[Special Instructions]], FIND("VIN CHANGE", Table2[[#This Row],[Special Instructions]]) + 28), 17), Table2[[#This Row],[Serial Number]])</f>
        <v>2XBB2TR34PA001964</v>
      </c>
      <c r="D203" t="s">
        <v>285</v>
      </c>
      <c r="E203" s="1">
        <v>44869</v>
      </c>
      <c r="F203" t="s">
        <v>286</v>
      </c>
      <c r="G203" t="s">
        <v>514</v>
      </c>
      <c r="H203" t="s">
        <v>537</v>
      </c>
    </row>
    <row r="204" spans="1:8">
      <c r="A204">
        <v>27840</v>
      </c>
      <c r="B204" s="2">
        <v>10015980</v>
      </c>
      <c r="C204" s="2" t="str">
        <f>IF(LEN(Table2[[#This Row],[Serial Number]]) &gt; 4, RIGHT(LEFT(Table2[[#This Row],[Special Instructions]], FIND("VIN CHANGE", Table2[[#This Row],[Special Instructions]]) + 28), 17), Table2[[#This Row],[Serial Number]])</f>
        <v>2XBB2TR36PA001965</v>
      </c>
      <c r="D204" t="s">
        <v>287</v>
      </c>
      <c r="E204" s="1">
        <v>44869</v>
      </c>
      <c r="F204" t="s">
        <v>288</v>
      </c>
      <c r="G204" t="s">
        <v>514</v>
      </c>
      <c r="H204" t="s">
        <v>537</v>
      </c>
    </row>
    <row r="205" spans="1:8">
      <c r="A205">
        <v>27841</v>
      </c>
      <c r="B205" s="2">
        <v>10015976</v>
      </c>
      <c r="C205" s="2" t="str">
        <f>IF(LEN(Table2[[#This Row],[Serial Number]]) &gt; 4, RIGHT(LEFT(Table2[[#This Row],[Special Instructions]], FIND("VIN CHANGE", Table2[[#This Row],[Special Instructions]]) + 28), 17), Table2[[#This Row],[Serial Number]])</f>
        <v>2XBB2TR39PA001961</v>
      </c>
      <c r="D205" t="s">
        <v>293</v>
      </c>
      <c r="E205" s="1">
        <v>44867</v>
      </c>
      <c r="F205" t="s">
        <v>294</v>
      </c>
      <c r="G205" t="s">
        <v>514</v>
      </c>
      <c r="H205" t="s">
        <v>537</v>
      </c>
    </row>
    <row r="206" spans="1:8">
      <c r="A206">
        <v>27842</v>
      </c>
      <c r="B206" s="2">
        <v>10015977</v>
      </c>
      <c r="C206" s="2" t="str">
        <f>IF(LEN(Table2[[#This Row],[Serial Number]]) &gt; 4, RIGHT(LEFT(Table2[[#This Row],[Special Instructions]], FIND("VIN CHANGE", Table2[[#This Row],[Special Instructions]]) + 28), 17), Table2[[#This Row],[Serial Number]])</f>
        <v>2XBB2TR32PA001963</v>
      </c>
      <c r="D206" t="s">
        <v>295</v>
      </c>
      <c r="E206" s="1">
        <v>44868</v>
      </c>
      <c r="F206" t="s">
        <v>296</v>
      </c>
      <c r="G206" t="s">
        <v>514</v>
      </c>
      <c r="H206" t="s">
        <v>537</v>
      </c>
    </row>
    <row r="207" spans="1:8">
      <c r="A207">
        <v>27843</v>
      </c>
      <c r="B207" s="2">
        <v>10015997</v>
      </c>
      <c r="C207" s="2" t="str">
        <f>IF(LEN(Table2[[#This Row],[Serial Number]]) &gt; 4, RIGHT(LEFT(Table2[[#This Row],[Special Instructions]], FIND("VIN CHANGE", Table2[[#This Row],[Special Instructions]]) + 28), 17), Table2[[#This Row],[Serial Number]])</f>
        <v>2B9B2TR39PA001896</v>
      </c>
      <c r="D207" t="s">
        <v>425</v>
      </c>
      <c r="E207" s="1">
        <v>44882</v>
      </c>
      <c r="F207" t="s">
        <v>426</v>
      </c>
      <c r="G207" t="s">
        <v>517</v>
      </c>
      <c r="H207" t="s">
        <v>562</v>
      </c>
    </row>
    <row r="208" spans="1:8">
      <c r="A208">
        <v>27844</v>
      </c>
      <c r="B208" s="2">
        <v>10015995</v>
      </c>
      <c r="C208" s="2" t="str">
        <f>IF(LEN(Table2[[#This Row],[Serial Number]]) &gt; 4, RIGHT(LEFT(Table2[[#This Row],[Special Instructions]], FIND("VIN CHANGE", Table2[[#This Row],[Special Instructions]]) + 28), 17), Table2[[#This Row],[Serial Number]])</f>
        <v>2B9B2TR32PA001898</v>
      </c>
      <c r="D208" t="s">
        <v>429</v>
      </c>
      <c r="E208" s="1">
        <v>44875</v>
      </c>
      <c r="F208" t="s">
        <v>430</v>
      </c>
      <c r="G208" t="s">
        <v>517</v>
      </c>
      <c r="H208" t="s">
        <v>560</v>
      </c>
    </row>
    <row r="209" spans="1:8">
      <c r="A209">
        <v>27845</v>
      </c>
      <c r="B209" s="2">
        <v>10016000</v>
      </c>
      <c r="C209" s="2" t="str">
        <f>IF(LEN(Table2[[#This Row],[Serial Number]]) &gt; 4, RIGHT(LEFT(Table2[[#This Row],[Special Instructions]], FIND("VIN CHANGE", Table2[[#This Row],[Special Instructions]]) + 28), 17), Table2[[#This Row],[Serial Number]])</f>
        <v>2B9B2TR32PA001903</v>
      </c>
      <c r="D209" t="s">
        <v>243</v>
      </c>
      <c r="E209" s="1">
        <v>44883</v>
      </c>
      <c r="F209" t="s">
        <v>244</v>
      </c>
      <c r="G209" t="s">
        <v>521</v>
      </c>
      <c r="H209" t="s">
        <v>560</v>
      </c>
    </row>
    <row r="210" spans="1:8">
      <c r="A210">
        <v>27848</v>
      </c>
      <c r="B210" s="2" t="s">
        <v>11</v>
      </c>
      <c r="C210" s="2" t="str">
        <f>IF(LEN(Table2[[#This Row],[Serial Number]]) &gt; 4, RIGHT(LEFT(Table2[[#This Row],[Special Instructions]], FIND("VIN CHANGE", Table2[[#This Row],[Special Instructions]]) + 28), 17), Table2[[#This Row],[Serial Number]])</f>
        <v>2XBB2TR30PA001945</v>
      </c>
      <c r="D210" t="s">
        <v>245</v>
      </c>
      <c r="E210" s="1">
        <v>44929</v>
      </c>
      <c r="F210" t="s">
        <v>246</v>
      </c>
      <c r="G210" t="s">
        <v>521</v>
      </c>
      <c r="H210" t="s">
        <v>562</v>
      </c>
    </row>
    <row r="211" spans="1:8">
      <c r="A211">
        <v>27856</v>
      </c>
      <c r="B211" s="2">
        <v>10016035</v>
      </c>
      <c r="C211" s="2" t="str">
        <f>IF(LEN(Table2[[#This Row],[Serial Number]]) &gt; 4, RIGHT(LEFT(Table2[[#This Row],[Special Instructions]], FIND("VIN CHANGE", Table2[[#This Row],[Special Instructions]]) + 28), 17), Table2[[#This Row],[Serial Number]])</f>
        <v>2B9B2TR31PA001908</v>
      </c>
      <c r="D211" t="s">
        <v>435</v>
      </c>
      <c r="E211" s="1">
        <v>44873</v>
      </c>
      <c r="F211" t="s">
        <v>436</v>
      </c>
      <c r="G211" t="s">
        <v>526</v>
      </c>
      <c r="H211" t="s">
        <v>562</v>
      </c>
    </row>
    <row r="212" spans="1:8">
      <c r="A212">
        <v>27857</v>
      </c>
      <c r="B212" s="2">
        <v>10016058</v>
      </c>
      <c r="C212" s="2" t="str">
        <f>IF(LEN(Table2[[#This Row],[Serial Number]]) &gt; 4, RIGHT(LEFT(Table2[[#This Row],[Special Instructions]], FIND("VIN CHANGE", Table2[[#This Row],[Special Instructions]]) + 28), 17), Table2[[#This Row],[Serial Number]])</f>
        <v>2B9B2TM26PA001921</v>
      </c>
      <c r="D212" t="s">
        <v>459</v>
      </c>
      <c r="E212" s="1">
        <v>44909</v>
      </c>
      <c r="F212" t="s">
        <v>460</v>
      </c>
      <c r="G212" t="s">
        <v>526</v>
      </c>
      <c r="H212" t="s">
        <v>552</v>
      </c>
    </row>
    <row r="213" spans="1:8">
      <c r="A213">
        <v>27858</v>
      </c>
      <c r="B213" s="2">
        <v>10016042</v>
      </c>
      <c r="C213" s="2" t="str">
        <f>IF(LEN(Table2[[#This Row],[Serial Number]]) &gt; 4, RIGHT(LEFT(Table2[[#This Row],[Special Instructions]], FIND("VIN CHANGE", Table2[[#This Row],[Special Instructions]]) + 28), 17), Table2[[#This Row],[Serial Number]])</f>
        <v>2B9B2TR39PA001915</v>
      </c>
      <c r="D213" t="s">
        <v>447</v>
      </c>
      <c r="E213" s="1">
        <v>44894</v>
      </c>
      <c r="F213" t="s">
        <v>448</v>
      </c>
      <c r="G213" t="s">
        <v>526</v>
      </c>
      <c r="H213" t="s">
        <v>560</v>
      </c>
    </row>
    <row r="214" spans="1:8">
      <c r="A214">
        <v>27859</v>
      </c>
      <c r="B214" s="2">
        <v>10016052</v>
      </c>
      <c r="C214" s="2" t="str">
        <f>IF(LEN(Table2[[#This Row],[Serial Number]]) &gt; 4, RIGHT(LEFT(Table2[[#This Row],[Special Instructions]], FIND("VIN CHANGE", Table2[[#This Row],[Special Instructions]]) + 28), 17), Table2[[#This Row],[Serial Number]])</f>
        <v>2B9B2TP30PA001918</v>
      </c>
      <c r="D214" t="s">
        <v>453</v>
      </c>
      <c r="E214" s="1">
        <v>44894</v>
      </c>
      <c r="F214" t="s">
        <v>454</v>
      </c>
      <c r="G214" t="s">
        <v>526</v>
      </c>
      <c r="H214" t="s">
        <v>566</v>
      </c>
    </row>
    <row r="215" spans="1:8">
      <c r="A215">
        <v>27860</v>
      </c>
      <c r="B215" s="2">
        <v>10015999</v>
      </c>
      <c r="C215" s="2" t="str">
        <f>IF(LEN(Table2[[#This Row],[Serial Number]]) &gt; 4, RIGHT(LEFT(Table2[[#This Row],[Special Instructions]], FIND("VIN CHANGE", Table2[[#This Row],[Special Instructions]]) + 28), 17), Table2[[#This Row],[Serial Number]])</f>
        <v>2B9B2TR3XPA001907</v>
      </c>
      <c r="D215" t="s">
        <v>433</v>
      </c>
      <c r="E215" s="1">
        <v>44855</v>
      </c>
      <c r="F215" t="s">
        <v>434</v>
      </c>
      <c r="G215" t="s">
        <v>526</v>
      </c>
      <c r="H215" t="s">
        <v>560</v>
      </c>
    </row>
    <row r="216" spans="1:8">
      <c r="A216">
        <v>27862</v>
      </c>
      <c r="B216" s="2">
        <v>10016066</v>
      </c>
      <c r="C216" s="2">
        <f>IF(LEN(Table2[[#This Row],[Serial Number]]) &gt; 4, RIGHT(LEFT(Table2[[#This Row],[Special Instructions]], FIND("VIN CHANGE", Table2[[#This Row],[Special Instructions]]) + 28), 17), Table2[[#This Row],[Serial Number]])</f>
        <v>9664</v>
      </c>
      <c r="D216">
        <v>9664</v>
      </c>
      <c r="E216" s="1">
        <v>44888</v>
      </c>
      <c r="F216" t="s">
        <v>11</v>
      </c>
      <c r="G216" t="s">
        <v>527</v>
      </c>
      <c r="H216" t="s">
        <v>572</v>
      </c>
    </row>
    <row r="217" spans="1:8">
      <c r="A217">
        <v>27865</v>
      </c>
      <c r="B217" s="2" t="s">
        <v>11</v>
      </c>
      <c r="C217" s="2" t="str">
        <f>IF(LEN(Table2[[#This Row],[Serial Number]]) &gt; 4, RIGHT(LEFT(Table2[[#This Row],[Special Instructions]], FIND("VIN CHANGE", Table2[[#This Row],[Special Instructions]]) + 28), 17), Table2[[#This Row],[Serial Number]])</f>
        <v>2XBB2TP32PA001948</v>
      </c>
      <c r="D217" t="s">
        <v>511</v>
      </c>
      <c r="E217" s="1">
        <v>44879</v>
      </c>
      <c r="F217" t="s">
        <v>512</v>
      </c>
      <c r="G217" t="s">
        <v>518</v>
      </c>
      <c r="H217" t="s">
        <v>566</v>
      </c>
    </row>
    <row r="218" spans="1:8">
      <c r="A218">
        <v>27869</v>
      </c>
      <c r="B218" s="2">
        <v>10016007</v>
      </c>
      <c r="C218" s="2" t="str">
        <f>IF(LEN(Table2[[#This Row],[Serial Number]]) &gt; 4, RIGHT(LEFT(Table2[[#This Row],[Special Instructions]], FIND("VIN CHANGE", Table2[[#This Row],[Special Instructions]]) + 28), 17), Table2[[#This Row],[Serial Number]])</f>
        <v>2B9B2TP34PA001906</v>
      </c>
      <c r="D218" t="s">
        <v>183</v>
      </c>
      <c r="E218" s="1">
        <v>44894</v>
      </c>
      <c r="F218" t="s">
        <v>184</v>
      </c>
      <c r="G218" t="s">
        <v>518</v>
      </c>
      <c r="H218" t="s">
        <v>540</v>
      </c>
    </row>
    <row r="219" spans="1:8">
      <c r="A219">
        <v>27871</v>
      </c>
      <c r="B219" s="2">
        <v>10016005</v>
      </c>
      <c r="C219" s="2" t="str">
        <f>IF(LEN(Table2[[#This Row],[Serial Number]]) &gt; 4, RIGHT(LEFT(Table2[[#This Row],[Special Instructions]], FIND("VIN CHANGE", Table2[[#This Row],[Special Instructions]]) + 28), 17), Table2[[#This Row],[Serial Number]])</f>
        <v>2B9B2TP30PA001904</v>
      </c>
      <c r="D219" t="s">
        <v>187</v>
      </c>
      <c r="E219" s="1">
        <v>44875</v>
      </c>
      <c r="F219" t="s">
        <v>188</v>
      </c>
      <c r="G219" t="s">
        <v>518</v>
      </c>
      <c r="H219" t="s">
        <v>540</v>
      </c>
    </row>
    <row r="220" spans="1:8">
      <c r="A220">
        <v>27880</v>
      </c>
      <c r="B220" s="2">
        <v>10016006</v>
      </c>
      <c r="C220" s="2" t="str">
        <f>IF(LEN(Table2[[#This Row],[Serial Number]]) &gt; 4, RIGHT(LEFT(Table2[[#This Row],[Special Instructions]], FIND("VIN CHANGE", Table2[[#This Row],[Special Instructions]]) + 28), 17), Table2[[#This Row],[Serial Number]])</f>
        <v>2B9B2TP32PA001905</v>
      </c>
      <c r="D220" t="s">
        <v>181</v>
      </c>
      <c r="E220" s="1">
        <v>44890</v>
      </c>
      <c r="F220" t="s">
        <v>182</v>
      </c>
      <c r="G220" t="s">
        <v>518</v>
      </c>
      <c r="H220" t="s">
        <v>540</v>
      </c>
    </row>
    <row r="221" spans="1:8">
      <c r="A221">
        <v>27882</v>
      </c>
      <c r="B221" s="2">
        <v>10016036</v>
      </c>
      <c r="C221" s="2" t="str">
        <f>IF(LEN(Table2[[#This Row],[Serial Number]]) &gt; 4, RIGHT(LEFT(Table2[[#This Row],[Special Instructions]], FIND("VIN CHANGE", Table2[[#This Row],[Special Instructions]]) + 28), 17), Table2[[#This Row],[Serial Number]])</f>
        <v>2B9B2TR33PA001909</v>
      </c>
      <c r="D221" t="s">
        <v>437</v>
      </c>
      <c r="E221" s="1">
        <v>44900</v>
      </c>
      <c r="F221" t="s">
        <v>438</v>
      </c>
      <c r="G221" t="s">
        <v>526</v>
      </c>
      <c r="H221" t="s">
        <v>562</v>
      </c>
    </row>
    <row r="222" spans="1:8">
      <c r="A222">
        <v>27883</v>
      </c>
      <c r="B222" s="2">
        <v>10016037</v>
      </c>
      <c r="C222" s="2" t="str">
        <f>IF(LEN(Table2[[#This Row],[Serial Number]]) &gt; 4, RIGHT(LEFT(Table2[[#This Row],[Special Instructions]], FIND("VIN CHANGE", Table2[[#This Row],[Special Instructions]]) + 28), 17), Table2[[#This Row],[Serial Number]])</f>
        <v>2B9B2TR3XPA001910</v>
      </c>
      <c r="D222" t="s">
        <v>439</v>
      </c>
      <c r="E222" s="1">
        <v>44901</v>
      </c>
      <c r="F222" t="s">
        <v>440</v>
      </c>
      <c r="G222" t="s">
        <v>526</v>
      </c>
      <c r="H222" t="s">
        <v>562</v>
      </c>
    </row>
    <row r="223" spans="1:8">
      <c r="A223">
        <v>27884</v>
      </c>
      <c r="B223" s="2">
        <v>10016038</v>
      </c>
      <c r="C223" s="2" t="str">
        <f>IF(LEN(Table2[[#This Row],[Serial Number]]) &gt; 4, RIGHT(LEFT(Table2[[#This Row],[Special Instructions]], FIND("VIN CHANGE", Table2[[#This Row],[Special Instructions]]) + 28), 17), Table2[[#This Row],[Serial Number]])</f>
        <v>2B9B2TR31PA001911</v>
      </c>
      <c r="D223" t="s">
        <v>441</v>
      </c>
      <c r="E223" s="1">
        <v>44901</v>
      </c>
      <c r="F223" t="s">
        <v>442</v>
      </c>
      <c r="G223" t="s">
        <v>526</v>
      </c>
      <c r="H223" t="s">
        <v>562</v>
      </c>
    </row>
    <row r="224" spans="1:8">
      <c r="A224">
        <v>27885</v>
      </c>
      <c r="B224" s="2">
        <v>10016039</v>
      </c>
      <c r="C224" s="2" t="str">
        <f>IF(LEN(Table2[[#This Row],[Serial Number]]) &gt; 4, RIGHT(LEFT(Table2[[#This Row],[Special Instructions]], FIND("VIN CHANGE", Table2[[#This Row],[Special Instructions]]) + 28), 17), Table2[[#This Row],[Serial Number]])</f>
        <v>2B9B2TR33PA001912</v>
      </c>
      <c r="D224" t="s">
        <v>443</v>
      </c>
      <c r="E224" s="1">
        <v>44903</v>
      </c>
      <c r="F224" t="s">
        <v>444</v>
      </c>
      <c r="G224" t="s">
        <v>526</v>
      </c>
      <c r="H224" t="s">
        <v>562</v>
      </c>
    </row>
    <row r="225" spans="1:8">
      <c r="A225">
        <v>27886</v>
      </c>
      <c r="B225" s="2">
        <v>10016040</v>
      </c>
      <c r="C225" s="2" t="str">
        <f>IF(LEN(Table2[[#This Row],[Serial Number]]) &gt; 4, RIGHT(LEFT(Table2[[#This Row],[Special Instructions]], FIND("VIN CHANGE", Table2[[#This Row],[Special Instructions]]) + 28), 17), Table2[[#This Row],[Serial Number]])</f>
        <v>2B9B2TR35PA001913</v>
      </c>
      <c r="D225" t="s">
        <v>445</v>
      </c>
      <c r="E225" s="1">
        <v>44903</v>
      </c>
      <c r="F225" t="s">
        <v>446</v>
      </c>
      <c r="G225" t="s">
        <v>526</v>
      </c>
      <c r="H225" t="s">
        <v>562</v>
      </c>
    </row>
    <row r="226" spans="1:8">
      <c r="A226">
        <v>27893</v>
      </c>
      <c r="B226" s="2">
        <v>10016043</v>
      </c>
      <c r="C226" s="2" t="str">
        <f>IF(LEN(Table2[[#This Row],[Serial Number]]) &gt; 4, RIGHT(LEFT(Table2[[#This Row],[Special Instructions]], FIND("VIN CHANGE", Table2[[#This Row],[Special Instructions]]) + 28), 17), Table2[[#This Row],[Serial Number]])</f>
        <v>2B9B2TR30PA001916</v>
      </c>
      <c r="D226" t="s">
        <v>449</v>
      </c>
      <c r="E226" s="1">
        <v>44896</v>
      </c>
      <c r="F226" t="s">
        <v>450</v>
      </c>
      <c r="G226" t="s">
        <v>526</v>
      </c>
      <c r="H226" t="s">
        <v>560</v>
      </c>
    </row>
    <row r="227" spans="1:8">
      <c r="A227">
        <v>27894</v>
      </c>
      <c r="B227" s="2">
        <v>10016044</v>
      </c>
      <c r="C227" s="2" t="str">
        <f>IF(LEN(Table2[[#This Row],[Serial Number]]) &gt; 4, RIGHT(LEFT(Table2[[#This Row],[Special Instructions]], FIND("VIN CHANGE", Table2[[#This Row],[Special Instructions]]) + 28), 17), Table2[[#This Row],[Serial Number]])</f>
        <v>2B9B2TR32PA001917</v>
      </c>
      <c r="D227" t="s">
        <v>451</v>
      </c>
      <c r="E227" s="1">
        <v>44896</v>
      </c>
      <c r="F227" t="s">
        <v>452</v>
      </c>
      <c r="G227" t="s">
        <v>526</v>
      </c>
      <c r="H227" t="s">
        <v>560</v>
      </c>
    </row>
    <row r="228" spans="1:8">
      <c r="A228">
        <v>27895</v>
      </c>
      <c r="B228" s="2">
        <v>10016053</v>
      </c>
      <c r="C228" s="2" t="str">
        <f>IF(LEN(Table2[[#This Row],[Serial Number]]) &gt; 4, RIGHT(LEFT(Table2[[#This Row],[Special Instructions]], FIND("VIN CHANGE", Table2[[#This Row],[Special Instructions]]) + 28), 17), Table2[[#This Row],[Serial Number]])</f>
        <v>2B9B2TP32PA001919</v>
      </c>
      <c r="D228" t="s">
        <v>455</v>
      </c>
      <c r="E228" s="1">
        <v>44896</v>
      </c>
      <c r="F228" t="s">
        <v>456</v>
      </c>
      <c r="G228" t="s">
        <v>526</v>
      </c>
      <c r="H228" t="s">
        <v>566</v>
      </c>
    </row>
    <row r="229" spans="1:8">
      <c r="A229">
        <v>27896</v>
      </c>
      <c r="B229" s="2">
        <v>10016054</v>
      </c>
      <c r="C229" s="2" t="str">
        <f>IF(LEN(Table2[[#This Row],[Serial Number]]) &gt; 4, RIGHT(LEFT(Table2[[#This Row],[Special Instructions]], FIND("VIN CHANGE", Table2[[#This Row],[Special Instructions]]) + 28), 17), Table2[[#This Row],[Serial Number]])</f>
        <v>2B9B2TP39PA001920</v>
      </c>
      <c r="D229" t="s">
        <v>457</v>
      </c>
      <c r="E229" s="1">
        <v>44900</v>
      </c>
      <c r="F229" t="s">
        <v>458</v>
      </c>
      <c r="G229" t="s">
        <v>526</v>
      </c>
      <c r="H229" t="s">
        <v>566</v>
      </c>
    </row>
    <row r="230" spans="1:8">
      <c r="A230">
        <v>27897</v>
      </c>
      <c r="B230" s="2">
        <v>10016059</v>
      </c>
      <c r="C230" s="2" t="str">
        <f>IF(LEN(Table2[[#This Row],[Serial Number]]) &gt; 4, RIGHT(LEFT(Table2[[#This Row],[Special Instructions]], FIND("VIN CHANGE", Table2[[#This Row],[Special Instructions]]) + 28), 17), Table2[[#This Row],[Serial Number]])</f>
        <v>2B9B2TM28PA001922</v>
      </c>
      <c r="D230" t="s">
        <v>461</v>
      </c>
      <c r="E230" s="1">
        <v>44911</v>
      </c>
      <c r="F230" t="s">
        <v>462</v>
      </c>
      <c r="G230" t="s">
        <v>526</v>
      </c>
      <c r="H230" t="s">
        <v>552</v>
      </c>
    </row>
    <row r="231" spans="1:8">
      <c r="A231">
        <v>27898</v>
      </c>
      <c r="B231" s="2">
        <v>10016060</v>
      </c>
      <c r="C231" s="2" t="str">
        <f>IF(LEN(Table2[[#This Row],[Serial Number]]) &gt; 4, RIGHT(LEFT(Table2[[#This Row],[Special Instructions]], FIND("VIN CHANGE", Table2[[#This Row],[Special Instructions]]) + 28), 17), Table2[[#This Row],[Serial Number]])</f>
        <v>2B9B2TM2XPA001923</v>
      </c>
      <c r="D231" t="s">
        <v>463</v>
      </c>
      <c r="E231" s="1">
        <v>44915</v>
      </c>
      <c r="F231" t="s">
        <v>464</v>
      </c>
      <c r="G231" t="s">
        <v>526</v>
      </c>
      <c r="H231" t="s">
        <v>552</v>
      </c>
    </row>
    <row r="232" spans="1:8">
      <c r="A232">
        <v>27901</v>
      </c>
      <c r="B232" s="2" t="s">
        <v>11</v>
      </c>
      <c r="C232" s="2" t="str">
        <f>IF(LEN(Table2[[#This Row],[Serial Number]]) &gt; 4, RIGHT(LEFT(Table2[[#This Row],[Special Instructions]], FIND("VIN CHANGE", Table2[[#This Row],[Special Instructions]]) + 28), 17), Table2[[#This Row],[Serial Number]])</f>
        <v>2B9B6LX41PA001925</v>
      </c>
      <c r="D232" t="s">
        <v>467</v>
      </c>
      <c r="E232" s="1">
        <v>44950</v>
      </c>
      <c r="F232" t="s">
        <v>468</v>
      </c>
      <c r="G232" t="s">
        <v>517</v>
      </c>
      <c r="H232" t="s">
        <v>575</v>
      </c>
    </row>
    <row r="233" spans="1:8">
      <c r="A233">
        <v>27903</v>
      </c>
      <c r="B233" s="2">
        <v>10016021</v>
      </c>
      <c r="C233" s="2" t="str">
        <f>IF(LEN(Table2[[#This Row],[Serial Number]]) &gt; 4, RIGHT(LEFT(Table2[[#This Row],[Special Instructions]], FIND("VIN CHANGE", Table2[[#This Row],[Special Instructions]]) + 28), 17), Table2[[#This Row],[Serial Number]])</f>
        <v>2B9B6GW24PA001926</v>
      </c>
      <c r="D233" t="s">
        <v>73</v>
      </c>
      <c r="E233" s="1">
        <v>44846</v>
      </c>
      <c r="F233" t="s">
        <v>74</v>
      </c>
      <c r="G233" t="s">
        <v>519</v>
      </c>
      <c r="H233" t="s">
        <v>549</v>
      </c>
    </row>
    <row r="234" spans="1:8">
      <c r="A234">
        <v>27904</v>
      </c>
      <c r="B234" s="2">
        <v>10016017</v>
      </c>
      <c r="C234" s="2" t="str">
        <f>IF(LEN(Table2[[#This Row],[Serial Number]]) &gt; 4, RIGHT(LEFT(Table2[[#This Row],[Special Instructions]], FIND("VIN CHANGE", Table2[[#This Row],[Special Instructions]]) + 28), 17), Table2[[#This Row],[Serial Number]])</f>
        <v>2B9B6GX28PA001927</v>
      </c>
      <c r="D234" t="s">
        <v>75</v>
      </c>
      <c r="E234" s="1">
        <v>44862</v>
      </c>
      <c r="F234" t="s">
        <v>76</v>
      </c>
      <c r="G234" t="s">
        <v>519</v>
      </c>
      <c r="H234" t="s">
        <v>545</v>
      </c>
    </row>
    <row r="235" spans="1:8">
      <c r="A235">
        <v>27905</v>
      </c>
      <c r="B235" s="2">
        <v>10016076</v>
      </c>
      <c r="C235" s="2" t="str">
        <f>IF(LEN(Table2[[#This Row],[Serial Number]]) &gt; 4, RIGHT(LEFT(Table2[[#This Row],[Special Instructions]], FIND("VIN CHANGE", Table2[[#This Row],[Special Instructions]]) + 28), 17), Table2[[#This Row],[Serial Number]])</f>
        <v>2B9B6FY49PA001929</v>
      </c>
      <c r="D235" t="s">
        <v>195</v>
      </c>
      <c r="E235" s="1">
        <v>44897</v>
      </c>
      <c r="F235" t="s">
        <v>196</v>
      </c>
      <c r="G235" t="s">
        <v>518</v>
      </c>
      <c r="H235" t="s">
        <v>569</v>
      </c>
    </row>
    <row r="236" spans="1:8">
      <c r="A236">
        <v>27906</v>
      </c>
      <c r="B236" s="2">
        <v>10016018</v>
      </c>
      <c r="C236" s="2" t="str">
        <f>IF(LEN(Table2[[#This Row],[Serial Number]]) &gt; 4, RIGHT(LEFT(Table2[[#This Row],[Special Instructions]], FIND("VIN CHANGE", Table2[[#This Row],[Special Instructions]]) + 28), 17), Table2[[#This Row],[Serial Number]])</f>
        <v>2B9B6GY21PA001928</v>
      </c>
      <c r="D236" t="s">
        <v>77</v>
      </c>
      <c r="E236" s="1">
        <v>44858</v>
      </c>
      <c r="F236" t="s">
        <v>78</v>
      </c>
      <c r="G236" t="s">
        <v>519</v>
      </c>
      <c r="H236" t="s">
        <v>546</v>
      </c>
    </row>
    <row r="237" spans="1:8">
      <c r="A237">
        <v>27913</v>
      </c>
      <c r="B237" s="2">
        <v>10016072</v>
      </c>
      <c r="C237" s="2" t="str">
        <f>IF(LEN(Table2[[#This Row],[Serial Number]]) &gt; 4, RIGHT(LEFT(Table2[[#This Row],[Special Instructions]], FIND("VIN CHANGE", Table2[[#This Row],[Special Instructions]]) + 28), 17), Table2[[#This Row],[Serial Number]])</f>
        <v>2B9B6FW41PA001930</v>
      </c>
      <c r="D237" t="s">
        <v>197</v>
      </c>
      <c r="E237" s="1">
        <v>44889</v>
      </c>
      <c r="F237" t="s">
        <v>198</v>
      </c>
      <c r="G237" t="s">
        <v>518</v>
      </c>
      <c r="H237" t="s">
        <v>550</v>
      </c>
    </row>
    <row r="238" spans="1:8">
      <c r="A238">
        <v>27917</v>
      </c>
      <c r="B238" s="2">
        <v>10016024</v>
      </c>
      <c r="C238" s="2">
        <f>IF(LEN(Table2[[#This Row],[Serial Number]]) &gt; 4, RIGHT(LEFT(Table2[[#This Row],[Special Instructions]], FIND("VIN CHANGE", Table2[[#This Row],[Special Instructions]]) + 28), 17), Table2[[#This Row],[Serial Number]])</f>
        <v>9952</v>
      </c>
      <c r="D238">
        <v>9952</v>
      </c>
      <c r="E238" s="1">
        <v>44852</v>
      </c>
      <c r="F238" t="s">
        <v>11</v>
      </c>
      <c r="G238" t="s">
        <v>530</v>
      </c>
      <c r="H238" t="s">
        <v>576</v>
      </c>
    </row>
    <row r="239" spans="1:8">
      <c r="A239">
        <v>27918</v>
      </c>
      <c r="B239" s="2">
        <v>10016022</v>
      </c>
      <c r="C239" s="2">
        <f>IF(LEN(Table2[[#This Row],[Serial Number]]) &gt; 4, RIGHT(LEFT(Table2[[#This Row],[Special Instructions]], FIND("VIN CHANGE", Table2[[#This Row],[Special Instructions]]) + 28), 17), Table2[[#This Row],[Serial Number]])</f>
        <v>9959</v>
      </c>
      <c r="D239">
        <v>9959</v>
      </c>
      <c r="E239" s="1">
        <v>44845</v>
      </c>
      <c r="F239" t="s">
        <v>11</v>
      </c>
      <c r="G239" t="s">
        <v>530</v>
      </c>
      <c r="H239" t="s">
        <v>574</v>
      </c>
    </row>
    <row r="240" spans="1:8">
      <c r="A240">
        <v>27919</v>
      </c>
      <c r="B240" s="2">
        <v>10016023</v>
      </c>
      <c r="C240" s="2">
        <f>IF(LEN(Table2[[#This Row],[Serial Number]]) &gt; 4, RIGHT(LEFT(Table2[[#This Row],[Special Instructions]], FIND("VIN CHANGE", Table2[[#This Row],[Special Instructions]]) + 28), 17), Table2[[#This Row],[Serial Number]])</f>
        <v>9960</v>
      </c>
      <c r="D240">
        <v>9960</v>
      </c>
      <c r="E240" s="1">
        <v>44851</v>
      </c>
      <c r="F240" t="s">
        <v>11</v>
      </c>
      <c r="G240" t="s">
        <v>530</v>
      </c>
      <c r="H240" t="s">
        <v>574</v>
      </c>
    </row>
    <row r="241" spans="1:8">
      <c r="A241">
        <v>27924</v>
      </c>
      <c r="B241" s="2" t="s">
        <v>11</v>
      </c>
      <c r="C241" s="2" t="str">
        <f>IF(LEN(Table2[[#This Row],[Serial Number]]) &gt; 4, RIGHT(LEFT(Table2[[#This Row],[Special Instructions]], FIND("VIN CHANGE", Table2[[#This Row],[Special Instructions]]) + 28), 17), Table2[[#This Row],[Serial Number]])</f>
        <v>2B9B6EY3XPA001939</v>
      </c>
      <c r="D241" t="s">
        <v>495</v>
      </c>
      <c r="E241" s="1">
        <v>45001</v>
      </c>
      <c r="F241" t="s">
        <v>496</v>
      </c>
      <c r="G241" t="s">
        <v>521</v>
      </c>
      <c r="H241" t="s">
        <v>539</v>
      </c>
    </row>
    <row r="242" spans="1:8">
      <c r="A242">
        <v>27925</v>
      </c>
      <c r="B242" s="2" t="s">
        <v>11</v>
      </c>
      <c r="C242" s="2" t="str">
        <f>IF(LEN(Table2[[#This Row],[Serial Number]]) &gt; 4, RIGHT(LEFT(Table2[[#This Row],[Special Instructions]], FIND("VIN CHANGE", Table2[[#This Row],[Special Instructions]]) + 28), 17), Table2[[#This Row],[Serial Number]])</f>
        <v>2B9B6EY36PA001937</v>
      </c>
      <c r="D242" t="s">
        <v>491</v>
      </c>
      <c r="E242" s="1">
        <v>45020</v>
      </c>
      <c r="F242" t="s">
        <v>492</v>
      </c>
      <c r="G242" t="s">
        <v>521</v>
      </c>
      <c r="H242" t="s">
        <v>535</v>
      </c>
    </row>
    <row r="243" spans="1:8">
      <c r="A243">
        <v>27927</v>
      </c>
      <c r="B243" s="2">
        <v>10016070</v>
      </c>
      <c r="C243" s="2" t="str">
        <f>IF(LEN(Table2[[#This Row],[Serial Number]]) &gt; 4, RIGHT(LEFT(Table2[[#This Row],[Special Instructions]], FIND("VIN CHANGE", Table2[[#This Row],[Special Instructions]]) + 28), 17), Table2[[#This Row],[Serial Number]])</f>
        <v>2B9B2TP36PA001941</v>
      </c>
      <c r="D243" t="s">
        <v>499</v>
      </c>
      <c r="E243" s="1">
        <v>44888</v>
      </c>
      <c r="F243" t="s">
        <v>500</v>
      </c>
      <c r="G243" t="s">
        <v>518</v>
      </c>
      <c r="H243" t="s">
        <v>566</v>
      </c>
    </row>
    <row r="244" spans="1:8">
      <c r="A244">
        <v>27929</v>
      </c>
      <c r="B244" s="2">
        <v>10016071</v>
      </c>
      <c r="C244" s="2" t="str">
        <f>IF(LEN(Table2[[#This Row],[Serial Number]]) &gt; 4, RIGHT(LEFT(Table2[[#This Row],[Special Instructions]], FIND("VIN CHANGE", Table2[[#This Row],[Special Instructions]]) + 28), 17), Table2[[#This Row],[Serial Number]])</f>
        <v>2B9B2TP33PA001931</v>
      </c>
      <c r="D244" t="s">
        <v>469</v>
      </c>
      <c r="E244" s="1">
        <v>44888</v>
      </c>
      <c r="F244" t="s">
        <v>470</v>
      </c>
      <c r="G244" t="s">
        <v>531</v>
      </c>
      <c r="H244" t="s">
        <v>566</v>
      </c>
    </row>
    <row r="245" spans="1:8">
      <c r="A245">
        <v>27931</v>
      </c>
      <c r="B245" s="2">
        <v>10016075</v>
      </c>
      <c r="C245" s="2" t="str">
        <f>IF(LEN(Table2[[#This Row],[Serial Number]]) &gt; 4, RIGHT(LEFT(Table2[[#This Row],[Special Instructions]], FIND("VIN CHANGE", Table2[[#This Row],[Special Instructions]]) + 28), 17), Table2[[#This Row],[Serial Number]])</f>
        <v>2B9B2TR39PA001932</v>
      </c>
      <c r="D245" t="s">
        <v>471</v>
      </c>
      <c r="E245" s="1">
        <v>44894</v>
      </c>
      <c r="F245" t="s">
        <v>472</v>
      </c>
      <c r="G245" t="s">
        <v>531</v>
      </c>
      <c r="H245" t="s">
        <v>537</v>
      </c>
    </row>
    <row r="246" spans="1:8">
      <c r="A246">
        <v>27932</v>
      </c>
      <c r="B246" s="2">
        <v>10016073</v>
      </c>
      <c r="C246" s="2" t="str">
        <f>IF(LEN(Table2[[#This Row],[Serial Number]]) &gt; 4, RIGHT(LEFT(Table2[[#This Row],[Special Instructions]], FIND("VIN CHANGE", Table2[[#This Row],[Special Instructions]]) + 28), 17), Table2[[#This Row],[Serial Number]])</f>
        <v>2B9B2TM22PA001933</v>
      </c>
      <c r="D246" t="s">
        <v>473</v>
      </c>
      <c r="E246" s="1">
        <v>44900</v>
      </c>
      <c r="F246" t="s">
        <v>474</v>
      </c>
      <c r="G246" t="s">
        <v>531</v>
      </c>
      <c r="H246" t="s">
        <v>552</v>
      </c>
    </row>
    <row r="247" spans="1:8">
      <c r="A247">
        <v>27933</v>
      </c>
      <c r="B247" s="2">
        <v>10016078</v>
      </c>
      <c r="C247" s="2" t="str">
        <f>IF(LEN(Table2[[#This Row],[Serial Number]]) &gt; 4, RIGHT(LEFT(Table2[[#This Row],[Special Instructions]], FIND("VIN CHANGE", Table2[[#This Row],[Special Instructions]]) + 28), 17), Table2[[#This Row],[Serial Number]])</f>
        <v>2B9B2TN26PA001934</v>
      </c>
      <c r="D247" t="s">
        <v>475</v>
      </c>
      <c r="E247" s="1">
        <v>44917</v>
      </c>
      <c r="F247" t="s">
        <v>476</v>
      </c>
      <c r="G247" t="s">
        <v>531</v>
      </c>
      <c r="H247" t="s">
        <v>567</v>
      </c>
    </row>
    <row r="248" spans="1:8">
      <c r="A248">
        <v>27934</v>
      </c>
      <c r="B248" s="2" t="s">
        <v>11</v>
      </c>
      <c r="C248" s="2" t="str">
        <f>IF(LEN(Table2[[#This Row],[Serial Number]]) &gt; 4, RIGHT(LEFT(Table2[[#This Row],[Special Instructions]], FIND("VIN CHANGE", Table2[[#This Row],[Special Instructions]]) + 28), 17), Table2[[#This Row],[Serial Number]])</f>
        <v>2B9B2TP30PA001935</v>
      </c>
      <c r="D248" t="s">
        <v>477</v>
      </c>
      <c r="E248" s="1">
        <v>44949</v>
      </c>
      <c r="F248" t="s">
        <v>478</v>
      </c>
      <c r="G248" t="s">
        <v>531</v>
      </c>
      <c r="H248" t="s">
        <v>566</v>
      </c>
    </row>
    <row r="249" spans="1:8">
      <c r="A249">
        <v>27935</v>
      </c>
      <c r="B249" s="2" t="s">
        <v>11</v>
      </c>
      <c r="C249" s="2" t="str">
        <f>IF(LEN(Table2[[#This Row],[Serial Number]]) &gt; 4, RIGHT(LEFT(Table2[[#This Row],[Special Instructions]], FIND("VIN CHANGE", Table2[[#This Row],[Special Instructions]]) + 28), 17), Table2[[#This Row],[Serial Number]])</f>
        <v>2B9B2TP3XRA001010</v>
      </c>
      <c r="D249" t="s">
        <v>481</v>
      </c>
      <c r="E249" s="1">
        <v>44973</v>
      </c>
      <c r="F249" t="s">
        <v>482</v>
      </c>
      <c r="G249" t="s">
        <v>531</v>
      </c>
      <c r="H249" t="s">
        <v>566</v>
      </c>
    </row>
    <row r="250" spans="1:8">
      <c r="A250">
        <v>27938</v>
      </c>
      <c r="B250" s="2">
        <v>10016079</v>
      </c>
      <c r="C250" s="2" t="str">
        <f>IF(LEN(Table2[[#This Row],[Serial Number]]) &gt; 4, RIGHT(LEFT(Table2[[#This Row],[Special Instructions]], FIND("VIN CHANGE", Table2[[#This Row],[Special Instructions]]) + 28), 17), Table2[[#This Row],[Serial Number]])</f>
        <v>2B9B2TR36PA001936</v>
      </c>
      <c r="D250" t="s">
        <v>479</v>
      </c>
      <c r="E250" s="1">
        <v>44917</v>
      </c>
      <c r="F250" t="s">
        <v>480</v>
      </c>
      <c r="G250" t="s">
        <v>531</v>
      </c>
      <c r="H250" t="s">
        <v>537</v>
      </c>
    </row>
    <row r="251" spans="1:8">
      <c r="A251">
        <v>27939</v>
      </c>
      <c r="B251" s="2" t="s">
        <v>11</v>
      </c>
      <c r="C251" s="2" t="str">
        <f>IF(LEN(Table2[[#This Row],[Serial Number]]) &gt; 4, RIGHT(LEFT(Table2[[#This Row],[Special Instructions]], FIND("VIN CHANGE", Table2[[#This Row],[Special Instructions]]) + 28), 17), Table2[[#This Row],[Serial Number]])</f>
        <v>2B9B2TR35RA001011</v>
      </c>
      <c r="D251" t="s">
        <v>487</v>
      </c>
      <c r="E251" s="1">
        <v>44946</v>
      </c>
      <c r="F251" t="s">
        <v>488</v>
      </c>
      <c r="G251" t="s">
        <v>531</v>
      </c>
      <c r="H251" t="s">
        <v>537</v>
      </c>
    </row>
    <row r="252" spans="1:8">
      <c r="A252">
        <v>27940</v>
      </c>
      <c r="B252" s="2" t="s">
        <v>11</v>
      </c>
      <c r="C252" s="2" t="str">
        <f>IF(LEN(Table2[[#This Row],[Serial Number]]) &gt; 4, RIGHT(LEFT(Table2[[#This Row],[Special Instructions]], FIND("VIN CHANGE", Table2[[#This Row],[Special Instructions]]) + 28), 17), Table2[[#This Row],[Serial Number]])</f>
        <v>2B9B2TM27RA001008</v>
      </c>
      <c r="D252" t="s">
        <v>483</v>
      </c>
      <c r="E252" s="1">
        <v>44949</v>
      </c>
      <c r="F252" t="s">
        <v>484</v>
      </c>
      <c r="G252" t="s">
        <v>531</v>
      </c>
      <c r="H252" t="s">
        <v>552</v>
      </c>
    </row>
    <row r="253" spans="1:8">
      <c r="A253">
        <v>27941</v>
      </c>
      <c r="B253" s="2" t="s">
        <v>11</v>
      </c>
      <c r="C253" s="2" t="str">
        <f>IF(LEN(Table2[[#This Row],[Serial Number]]) &gt; 4, RIGHT(LEFT(Table2[[#This Row],[Special Instructions]], FIND("VIN CHANGE", Table2[[#This Row],[Special Instructions]]) + 28), 17), Table2[[#This Row],[Serial Number]])</f>
        <v>2B9B2TM29RA001012</v>
      </c>
      <c r="D253" t="s">
        <v>489</v>
      </c>
      <c r="E253" s="1">
        <v>44973</v>
      </c>
      <c r="F253" t="s">
        <v>490</v>
      </c>
      <c r="G253" t="s">
        <v>531</v>
      </c>
      <c r="H253" t="s">
        <v>552</v>
      </c>
    </row>
    <row r="254" spans="1:8">
      <c r="A254">
        <v>27942</v>
      </c>
      <c r="B254" s="2" t="s">
        <v>11</v>
      </c>
      <c r="C254" s="2" t="str">
        <f>IF(LEN(Table2[[#This Row],[Serial Number]]) &gt; 4, RIGHT(LEFT(Table2[[#This Row],[Special Instructions]], FIND("VIN CHANGE", Table2[[#This Row],[Special Instructions]]) + 28), 17), Table2[[#This Row],[Serial Number]])</f>
        <v>2B9B2TN20RA001009</v>
      </c>
      <c r="D254" t="s">
        <v>485</v>
      </c>
      <c r="E254" s="1">
        <v>44973</v>
      </c>
      <c r="F254" t="s">
        <v>486</v>
      </c>
      <c r="G254" t="s">
        <v>531</v>
      </c>
      <c r="H254" t="s">
        <v>567</v>
      </c>
    </row>
    <row r="255" spans="1:8">
      <c r="A255">
        <v>27947</v>
      </c>
      <c r="B255" s="2" t="s">
        <v>11</v>
      </c>
      <c r="C255" s="2" t="str">
        <f>IF(LEN(Table2[[#This Row],[Serial Number]]) &gt; 4, RIGHT(LEFT(Table2[[#This Row],[Special Instructions]], FIND("VIN CHANGE", Table2[[#This Row],[Special Instructions]]) + 28), 17), Table2[[#This Row],[Serial Number]])</f>
        <v>2B9B6EY38PA001938</v>
      </c>
      <c r="D255" t="s">
        <v>493</v>
      </c>
      <c r="E255" s="1">
        <v>45037</v>
      </c>
      <c r="F255" t="s">
        <v>494</v>
      </c>
      <c r="G255" t="s">
        <v>521</v>
      </c>
      <c r="H255" t="s">
        <v>535</v>
      </c>
    </row>
    <row r="256" spans="1:8">
      <c r="A256">
        <v>27948</v>
      </c>
      <c r="B256" s="2" t="s">
        <v>11</v>
      </c>
      <c r="C256" s="2" t="str">
        <f>IF(LEN(Table2[[#This Row],[Serial Number]]) &gt; 4, RIGHT(LEFT(Table2[[#This Row],[Special Instructions]], FIND("VIN CHANGE", Table2[[#This Row],[Special Instructions]]) + 28), 17), Table2[[#This Row],[Serial Number]])</f>
        <v>2B9B6EY36PA001940</v>
      </c>
      <c r="D256" t="s">
        <v>497</v>
      </c>
      <c r="E256" s="1">
        <v>45048</v>
      </c>
      <c r="F256" t="s">
        <v>498</v>
      </c>
      <c r="G256" t="s">
        <v>521</v>
      </c>
      <c r="H256" t="s">
        <v>539</v>
      </c>
    </row>
    <row r="257" spans="1:8">
      <c r="A257">
        <v>27955</v>
      </c>
      <c r="B257" s="2">
        <v>10016074</v>
      </c>
      <c r="C257" s="2" t="str">
        <f>IF(LEN(Table2[[#This Row],[Serial Number]]) &gt; 4, RIGHT(LEFT(Table2[[#This Row],[Special Instructions]], FIND("VIN CHANGE", Table2[[#This Row],[Special Instructions]]) + 28), 17), Table2[[#This Row],[Serial Number]])</f>
        <v>2B9B2TN29PA001944</v>
      </c>
      <c r="D257" t="s">
        <v>79</v>
      </c>
      <c r="E257" s="1">
        <v>44890</v>
      </c>
      <c r="F257" t="s">
        <v>80</v>
      </c>
      <c r="G257" t="s">
        <v>519</v>
      </c>
      <c r="H257" t="s">
        <v>553</v>
      </c>
    </row>
    <row r="258" spans="1:8">
      <c r="A258">
        <v>27967</v>
      </c>
      <c r="B258" s="2" t="s">
        <v>11</v>
      </c>
      <c r="C258" s="2" t="str">
        <f>IF(LEN(Table2[[#This Row],[Serial Number]]) &gt; 4, RIGHT(LEFT(Table2[[#This Row],[Special Instructions]], FIND("VIN CHANGE", Table2[[#This Row],[Special Instructions]]) + 28), 17), Table2[[#This Row],[Serial Number]])</f>
        <v>2XBB2TR32RA001013</v>
      </c>
      <c r="D258" t="s">
        <v>509</v>
      </c>
      <c r="E258" s="1">
        <v>44900</v>
      </c>
      <c r="F258" t="s">
        <v>510</v>
      </c>
      <c r="G258" t="s">
        <v>532</v>
      </c>
      <c r="H258" t="s">
        <v>538</v>
      </c>
    </row>
    <row r="259" spans="1:8">
      <c r="A259">
        <v>27969</v>
      </c>
      <c r="B259" s="2" t="s">
        <v>11</v>
      </c>
      <c r="C259" s="2" t="str">
        <f>IF(LEN(Table2[[#This Row],[Serial Number]]) &gt; 4, RIGHT(LEFT(Table2[[#This Row],[Special Instructions]], FIND("VIN CHANGE", Table2[[#This Row],[Special Instructions]]) + 28), 17), Table2[[#This Row],[Serial Number]])</f>
        <v>2B9B6JH30PA001943</v>
      </c>
      <c r="D259" t="s">
        <v>501</v>
      </c>
      <c r="E259" s="1">
        <v>44935</v>
      </c>
      <c r="F259" t="s">
        <v>502</v>
      </c>
      <c r="G259" t="s">
        <v>518</v>
      </c>
      <c r="H259" t="s">
        <v>570</v>
      </c>
    </row>
    <row r="260" spans="1:8">
      <c r="A260">
        <v>27981</v>
      </c>
      <c r="B260" s="2" t="s">
        <v>11</v>
      </c>
      <c r="C260" s="2" t="str">
        <f>IF(LEN(Table2[[#This Row],[Serial Number]]) &gt; 4, RIGHT(LEFT(Table2[[#This Row],[Special Instructions]], FIND("VIN CHANGE", Table2[[#This Row],[Special Instructions]]) + 28), 17), Table2[[#This Row],[Serial Number]])</f>
        <v>2XBB6EY30PA001946</v>
      </c>
      <c r="D260" t="s">
        <v>505</v>
      </c>
      <c r="E260" s="1">
        <v>45028</v>
      </c>
      <c r="F260" t="s">
        <v>506</v>
      </c>
      <c r="G260" t="s">
        <v>521</v>
      </c>
      <c r="H260" t="s">
        <v>539</v>
      </c>
    </row>
    <row r="261" spans="1:8">
      <c r="A261">
        <v>27987</v>
      </c>
      <c r="B261" s="2">
        <v>10016077</v>
      </c>
      <c r="C261" s="2" t="str">
        <f>IF(LEN(Table2[[#This Row],[Serial Number]]) &gt; 4, RIGHT(LEFT(Table2[[#This Row],[Special Instructions]], FIND("VIN CHANGE", Table2[[#This Row],[Special Instructions]]) + 28), 17), Table2[[#This Row],[Serial Number]])</f>
        <v>2XBB2TP30PA001947</v>
      </c>
      <c r="D261" t="s">
        <v>507</v>
      </c>
      <c r="E261" s="1">
        <v>44914</v>
      </c>
      <c r="F261" t="s">
        <v>508</v>
      </c>
      <c r="G261" t="s">
        <v>521</v>
      </c>
      <c r="H261" t="s">
        <v>540</v>
      </c>
    </row>
    <row r="262" spans="1:8">
      <c r="A262">
        <v>27994</v>
      </c>
      <c r="B262" s="2">
        <v>10016067</v>
      </c>
      <c r="C262" s="2">
        <f>IF(LEN(Table2[[#This Row],[Serial Number]]) &gt; 4, RIGHT(LEFT(Table2[[#This Row],[Special Instructions]], FIND("VIN CHANGE", Table2[[#This Row],[Special Instructions]]) + 28), 17), Table2[[#This Row],[Serial Number]])</f>
        <v>9966</v>
      </c>
      <c r="D262">
        <v>9966</v>
      </c>
      <c r="E262" s="1">
        <v>44855</v>
      </c>
      <c r="F262" t="s">
        <v>11</v>
      </c>
      <c r="G262" t="s">
        <v>530</v>
      </c>
      <c r="H262" t="s">
        <v>574</v>
      </c>
    </row>
    <row r="263" spans="1:8">
      <c r="A263">
        <v>27995</v>
      </c>
      <c r="B263" s="2">
        <v>10016068</v>
      </c>
      <c r="C263" s="2">
        <f>IF(LEN(Table2[[#This Row],[Serial Number]]) &gt; 4, RIGHT(LEFT(Table2[[#This Row],[Special Instructions]], FIND("VIN CHANGE", Table2[[#This Row],[Special Instructions]]) + 28), 17), Table2[[#This Row],[Serial Number]])</f>
        <v>9967</v>
      </c>
      <c r="D263">
        <v>9967</v>
      </c>
      <c r="E263" s="1">
        <v>44861</v>
      </c>
      <c r="F263" t="s">
        <v>11</v>
      </c>
      <c r="G263" t="s">
        <v>530</v>
      </c>
      <c r="H263" t="s">
        <v>574</v>
      </c>
    </row>
    <row r="264" spans="1:8">
      <c r="A264">
        <v>27996</v>
      </c>
      <c r="B264" s="2">
        <v>10016069</v>
      </c>
      <c r="C264" s="2">
        <f>IF(LEN(Table2[[#This Row],[Serial Number]]) &gt; 4, RIGHT(LEFT(Table2[[#This Row],[Special Instructions]], FIND("VIN CHANGE", Table2[[#This Row],[Special Instructions]]) + 28), 17), Table2[[#This Row],[Serial Number]])</f>
        <v>9968</v>
      </c>
      <c r="D264">
        <v>9968</v>
      </c>
      <c r="E264" s="1">
        <v>44867</v>
      </c>
      <c r="F264" t="s">
        <v>11</v>
      </c>
      <c r="G264" t="s">
        <v>530</v>
      </c>
      <c r="H264" t="s">
        <v>574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2022-09-21T17:36:41Z</dcterms:created>
  <dcterms:modified xsi:type="dcterms:W3CDTF">2022-09-21T19:45:58Z</dcterms:modified>
</cp:coreProperties>
</file>