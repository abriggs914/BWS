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Tax\"/>
    </mc:Choice>
  </mc:AlternateContent>
  <xr:revisionPtr revIDLastSave="0" documentId="13_ncr:1_{D68F6A22-0798-4A24-8529-9AB51DE8E708}" xr6:coauthVersionLast="46" xr6:coauthVersionMax="46" xr10:uidLastSave="{00000000-0000-0000-0000-000000000000}"/>
  <bookViews>
    <workbookView xWindow="-120" yWindow="-120" windowWidth="29040" windowHeight="15840" xr2:uid="{6D0CD4EE-CC56-4F74-B7F8-52D61ECC5D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1" l="1"/>
  <c r="B30" i="1"/>
  <c r="B29" i="1"/>
  <c r="B20" i="1"/>
  <c r="B19" i="1"/>
  <c r="B18" i="1"/>
  <c r="E18" i="1"/>
  <c r="F8" i="1"/>
  <c r="L18" i="1" s="1"/>
  <c r="F7" i="1"/>
  <c r="F6" i="1"/>
  <c r="K48" i="1" s="1"/>
  <c r="N20" i="1"/>
  <c r="M20" i="1"/>
  <c r="D39" i="1"/>
  <c r="G13" i="1"/>
  <c r="G12" i="1"/>
  <c r="G14" i="1"/>
  <c r="I20" i="1" s="1"/>
  <c r="L20" i="1"/>
  <c r="K20" i="1"/>
  <c r="J20" i="1"/>
  <c r="E25" i="1"/>
  <c r="N30" i="1" s="1"/>
  <c r="N19" i="1"/>
  <c r="M19" i="1"/>
  <c r="N18" i="1"/>
  <c r="M18" i="1"/>
  <c r="I19" i="1"/>
  <c r="I18" i="1"/>
  <c r="H19" i="1"/>
  <c r="H18" i="1"/>
  <c r="G19" i="1"/>
  <c r="G18" i="1"/>
  <c r="F19" i="1"/>
  <c r="F18" i="1"/>
  <c r="E19" i="1"/>
  <c r="D19" i="1"/>
  <c r="D18" i="1"/>
  <c r="C19" i="1"/>
  <c r="C18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39" i="1"/>
  <c r="H62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39" i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39" i="1"/>
  <c r="J39" i="1" s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39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H21" i="1" l="1"/>
  <c r="N21" i="1"/>
  <c r="F21" i="1"/>
  <c r="E21" i="1"/>
  <c r="I21" i="1"/>
  <c r="I22" i="1"/>
  <c r="M22" i="1"/>
  <c r="C21" i="1"/>
  <c r="G21" i="1"/>
  <c r="M23" i="1"/>
  <c r="D21" i="1"/>
  <c r="N22" i="1"/>
  <c r="N23" i="1"/>
  <c r="I23" i="1"/>
  <c r="L22" i="1"/>
  <c r="M21" i="1"/>
  <c r="I31" i="1"/>
  <c r="K31" i="1"/>
  <c r="C31" i="1"/>
  <c r="D31" i="1"/>
  <c r="L31" i="1"/>
  <c r="E31" i="1"/>
  <c r="M31" i="1"/>
  <c r="F31" i="1"/>
  <c r="N31" i="1"/>
  <c r="G31" i="1"/>
  <c r="H31" i="1"/>
  <c r="C30" i="1"/>
  <c r="J31" i="1"/>
  <c r="C29" i="1"/>
  <c r="E29" i="1"/>
  <c r="C20" i="1"/>
  <c r="D20" i="1"/>
  <c r="G20" i="1"/>
  <c r="K29" i="1"/>
  <c r="H20" i="1"/>
  <c r="E20" i="1"/>
  <c r="F20" i="1"/>
  <c r="H29" i="1"/>
  <c r="K52" i="1"/>
  <c r="I29" i="1"/>
  <c r="M62" i="1"/>
  <c r="M29" i="1"/>
  <c r="M52" i="1"/>
  <c r="K49" i="1"/>
  <c r="M54" i="1"/>
  <c r="D29" i="1"/>
  <c r="N29" i="1"/>
  <c r="N32" i="1" s="1"/>
  <c r="K40" i="1"/>
  <c r="K47" i="1"/>
  <c r="K62" i="1"/>
  <c r="K45" i="1"/>
  <c r="M45" i="1"/>
  <c r="K18" i="1"/>
  <c r="K22" i="1" s="1"/>
  <c r="F29" i="1"/>
  <c r="D30" i="1"/>
  <c r="D32" i="1" s="1"/>
  <c r="K60" i="1"/>
  <c r="K42" i="1"/>
  <c r="M44" i="1"/>
  <c r="G29" i="1"/>
  <c r="E30" i="1"/>
  <c r="K58" i="1"/>
  <c r="K41" i="1"/>
  <c r="F30" i="1"/>
  <c r="F32" i="1" s="1"/>
  <c r="K55" i="1"/>
  <c r="L53" i="1"/>
  <c r="G30" i="1"/>
  <c r="K53" i="1"/>
  <c r="L40" i="1"/>
  <c r="J29" i="1"/>
  <c r="L52" i="1"/>
  <c r="K61" i="1"/>
  <c r="K50" i="1"/>
  <c r="L62" i="1"/>
  <c r="L51" i="1"/>
  <c r="M61" i="1"/>
  <c r="L61" i="1"/>
  <c r="L48" i="1"/>
  <c r="M60" i="1"/>
  <c r="J19" i="1"/>
  <c r="L46" i="1"/>
  <c r="K19" i="1"/>
  <c r="L60" i="1"/>
  <c r="K57" i="1"/>
  <c r="K46" i="1"/>
  <c r="L59" i="1"/>
  <c r="L45" i="1"/>
  <c r="M53" i="1"/>
  <c r="L56" i="1"/>
  <c r="L44" i="1"/>
  <c r="K54" i="1"/>
  <c r="K44" i="1"/>
  <c r="L54" i="1"/>
  <c r="L43" i="1"/>
  <c r="M46" i="1"/>
  <c r="L29" i="1"/>
  <c r="H30" i="1"/>
  <c r="H32" i="1" s="1"/>
  <c r="I30" i="1"/>
  <c r="J30" i="1"/>
  <c r="K30" i="1"/>
  <c r="K32" i="1" s="1"/>
  <c r="K59" i="1"/>
  <c r="K51" i="1"/>
  <c r="K43" i="1"/>
  <c r="L58" i="1"/>
  <c r="L50" i="1"/>
  <c r="L42" i="1"/>
  <c r="M58" i="1"/>
  <c r="M50" i="1"/>
  <c r="M42" i="1"/>
  <c r="L19" i="1"/>
  <c r="L21" i="1" s="1"/>
  <c r="L30" i="1"/>
  <c r="M59" i="1"/>
  <c r="M51" i="1"/>
  <c r="M43" i="1"/>
  <c r="L57" i="1"/>
  <c r="L49" i="1"/>
  <c r="L41" i="1"/>
  <c r="M57" i="1"/>
  <c r="M49" i="1"/>
  <c r="M41" i="1"/>
  <c r="J18" i="1"/>
  <c r="J22" i="1" s="1"/>
  <c r="M30" i="1"/>
  <c r="M56" i="1"/>
  <c r="M48" i="1"/>
  <c r="M40" i="1"/>
  <c r="K39" i="1"/>
  <c r="K56" i="1"/>
  <c r="L39" i="1"/>
  <c r="L55" i="1"/>
  <c r="L47" i="1"/>
  <c r="M39" i="1"/>
  <c r="M55" i="1"/>
  <c r="M47" i="1"/>
  <c r="E32" i="1" l="1"/>
  <c r="G32" i="1"/>
  <c r="C32" i="1"/>
  <c r="M32" i="1"/>
  <c r="I32" i="1"/>
  <c r="L32" i="1"/>
  <c r="J32" i="1"/>
  <c r="I34" i="1"/>
  <c r="I33" i="1"/>
  <c r="F34" i="1"/>
  <c r="F33" i="1"/>
  <c r="M33" i="1"/>
  <c r="M34" i="1"/>
  <c r="E33" i="1"/>
  <c r="E34" i="1"/>
  <c r="J34" i="1"/>
  <c r="J33" i="1"/>
  <c r="L34" i="1"/>
  <c r="L33" i="1"/>
  <c r="D33" i="1"/>
  <c r="D34" i="1"/>
  <c r="H33" i="1"/>
  <c r="H34" i="1"/>
  <c r="C34" i="1"/>
  <c r="C33" i="1"/>
  <c r="N34" i="1"/>
  <c r="N33" i="1"/>
  <c r="G33" i="1"/>
  <c r="G34" i="1"/>
  <c r="K34" i="1"/>
  <c r="K33" i="1"/>
  <c r="J21" i="1"/>
  <c r="D23" i="1"/>
  <c r="D22" i="1"/>
  <c r="G23" i="1"/>
  <c r="G22" i="1"/>
  <c r="F23" i="1"/>
  <c r="F22" i="1"/>
  <c r="K21" i="1"/>
  <c r="K23" i="1"/>
  <c r="C23" i="1"/>
  <c r="C22" i="1"/>
  <c r="E23" i="1"/>
  <c r="E22" i="1"/>
  <c r="H22" i="1"/>
  <c r="H23" i="1"/>
  <c r="L23" i="1"/>
  <c r="J23" i="1"/>
</calcChain>
</file>

<file path=xl/sharedStrings.xml><?xml version="1.0" encoding="utf-8"?>
<sst xmlns="http://schemas.openxmlformats.org/spreadsheetml/2006/main" count="77" uniqueCount="33">
  <si>
    <t>s</t>
  </si>
  <si>
    <t>m</t>
  </si>
  <si>
    <t>h</t>
  </si>
  <si>
    <t>d</t>
  </si>
  <si>
    <t>w</t>
  </si>
  <si>
    <t>q</t>
  </si>
  <si>
    <t>Salary</t>
  </si>
  <si>
    <t>Work hours per day:</t>
  </si>
  <si>
    <t>Work days per year:</t>
  </si>
  <si>
    <t>per time frame (All time)</t>
  </si>
  <si>
    <t>Calculated:</t>
  </si>
  <si>
    <t>Work seconds per year:</t>
  </si>
  <si>
    <t>Work Minutes per year:</t>
  </si>
  <si>
    <t>Work Hours per year:</t>
  </si>
  <si>
    <t>Work weeks per year:</t>
  </si>
  <si>
    <t>Custom salary:</t>
  </si>
  <si>
    <t>Comparing salary:</t>
  </si>
  <si>
    <t>per time frame (At work)</t>
  </si>
  <si>
    <t>Tax rate:</t>
  </si>
  <si>
    <t>Comparing wage:</t>
  </si>
  <si>
    <t>$</t>
  </si>
  <si>
    <t>$ / hr</t>
  </si>
  <si>
    <t>Annual</t>
  </si>
  <si>
    <t>Salary / wage</t>
  </si>
  <si>
    <t>Lower salary</t>
  </si>
  <si>
    <t>Higher salary</t>
  </si>
  <si>
    <t>Any wage</t>
  </si>
  <si>
    <t>Custom Salary</t>
  </si>
  <si>
    <t>Comparing Salary</t>
  </si>
  <si>
    <t>Comparing Wage</t>
  </si>
  <si>
    <t>Comparing Salary - Custom Salary</t>
  </si>
  <si>
    <t>Custom Wage - Custom Salary</t>
  </si>
  <si>
    <t>Custom Wage - Comparing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</si>
</sst>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00"/>
    <numFmt numFmtId="165" formatCode="&quot;$&quot;\ #,##0_)&quot;/ Hr&quot;;\(&quot;$&quot;\ #,##0\)&quot;/ Hr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5D5D"/>
        <bgColor indexed="64"/>
      </patternFill>
    </fill>
    <fill>
      <patternFill patternType="solid">
        <fgColor rgb="FF4DFF4D"/>
        <bgColor indexed="64"/>
      </patternFill>
    </fill>
    <fill>
      <patternFill patternType="solid">
        <fgColor rgb="FF4D55FF"/>
        <bgColor indexed="64"/>
      </patternFill>
    </fill>
    <fill>
      <patternFill patternType="solid">
        <fgColor rgb="FFFEF254"/>
        <bgColor indexed="64"/>
      </patternFill>
    </fill>
    <fill>
      <patternFill patternType="solid">
        <fgColor rgb="FFFE48E4"/>
        <bgColor indexed="64"/>
      </patternFill>
    </fill>
    <fill>
      <patternFill patternType="solid">
        <fgColor rgb="FF2FFAFF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/>
    <xf numFmtId="0" fontId="0" fillId="0" borderId="0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/>
    <xf numFmtId="0" fontId="0" fillId="0" borderId="20" xfId="0" applyBorder="1"/>
    <xf numFmtId="164" fontId="0" fillId="2" borderId="4" xfId="0" applyNumberFormat="1" applyFill="1" applyBorder="1"/>
    <xf numFmtId="164" fontId="0" fillId="2" borderId="7" xfId="0" applyNumberFormat="1" applyFill="1" applyBorder="1"/>
    <xf numFmtId="164" fontId="0" fillId="2" borderId="18" xfId="0" applyNumberFormat="1" applyFill="1" applyBorder="1"/>
    <xf numFmtId="164" fontId="0" fillId="2" borderId="2" xfId="0" applyNumberFormat="1" applyFill="1" applyBorder="1"/>
    <xf numFmtId="164" fontId="0" fillId="2" borderId="17" xfId="0" applyNumberFormat="1" applyFill="1" applyBorder="1"/>
    <xf numFmtId="164" fontId="0" fillId="2" borderId="16" xfId="0" applyNumberFormat="1" applyFill="1" applyBorder="1"/>
    <xf numFmtId="164" fontId="0" fillId="2" borderId="11" xfId="0" applyNumberFormat="1" applyFill="1" applyBorder="1"/>
    <xf numFmtId="164" fontId="0" fillId="2" borderId="3" xfId="0" applyNumberFormat="1" applyFill="1" applyBorder="1"/>
    <xf numFmtId="164" fontId="0" fillId="3" borderId="4" xfId="0" applyNumberFormat="1" applyFill="1" applyBorder="1"/>
    <xf numFmtId="164" fontId="0" fillId="3" borderId="7" xfId="0" applyNumberFormat="1" applyFill="1" applyBorder="1"/>
    <xf numFmtId="164" fontId="0" fillId="3" borderId="18" xfId="0" applyNumberFormat="1" applyFill="1" applyBorder="1"/>
    <xf numFmtId="164" fontId="0" fillId="3" borderId="2" xfId="0" applyNumberFormat="1" applyFill="1" applyBorder="1"/>
    <xf numFmtId="164" fontId="0" fillId="3" borderId="17" xfId="0" applyNumberFormat="1" applyFill="1" applyBorder="1"/>
    <xf numFmtId="164" fontId="0" fillId="3" borderId="16" xfId="0" applyNumberFormat="1" applyFill="1" applyBorder="1"/>
    <xf numFmtId="164" fontId="0" fillId="3" borderId="11" xfId="0" applyNumberFormat="1" applyFill="1" applyBorder="1"/>
    <xf numFmtId="164" fontId="0" fillId="3" borderId="3" xfId="0" applyNumberFormat="1" applyFill="1" applyBorder="1"/>
    <xf numFmtId="164" fontId="0" fillId="4" borderId="4" xfId="0" applyNumberFormat="1" applyFill="1" applyBorder="1"/>
    <xf numFmtId="164" fontId="0" fillId="4" borderId="7" xfId="0" applyNumberFormat="1" applyFill="1" applyBorder="1"/>
    <xf numFmtId="164" fontId="0" fillId="4" borderId="2" xfId="0" applyNumberFormat="1" applyFill="1" applyBorder="1"/>
    <xf numFmtId="164" fontId="0" fillId="4" borderId="17" xfId="0" applyNumberFormat="1" applyFill="1" applyBorder="1"/>
    <xf numFmtId="164" fontId="0" fillId="4" borderId="16" xfId="0" applyNumberFormat="1" applyFill="1" applyBorder="1"/>
    <xf numFmtId="164" fontId="0" fillId="4" borderId="18" xfId="0" applyNumberFormat="1" applyFill="1" applyBorder="1"/>
    <xf numFmtId="164" fontId="0" fillId="4" borderId="11" xfId="0" applyNumberFormat="1" applyFill="1" applyBorder="1"/>
    <xf numFmtId="164" fontId="0" fillId="5" borderId="16" xfId="0" applyNumberFormat="1" applyFill="1" applyBorder="1"/>
    <xf numFmtId="164" fontId="0" fillId="5" borderId="21" xfId="0" applyNumberFormat="1" applyFill="1" applyBorder="1"/>
    <xf numFmtId="164" fontId="0" fillId="6" borderId="22" xfId="0" applyNumberFormat="1" applyFill="1" applyBorder="1"/>
    <xf numFmtId="164" fontId="0" fillId="6" borderId="17" xfId="0" applyNumberFormat="1" applyFill="1" applyBorder="1"/>
    <xf numFmtId="164" fontId="0" fillId="7" borderId="22" xfId="0" applyNumberFormat="1" applyFill="1" applyBorder="1"/>
    <xf numFmtId="164" fontId="0" fillId="7" borderId="17" xfId="0" applyNumberFormat="1" applyFill="1" applyBorder="1"/>
    <xf numFmtId="164" fontId="0" fillId="5" borderId="6" xfId="0" applyNumberFormat="1" applyFill="1" applyBorder="1"/>
    <xf numFmtId="164" fontId="0" fillId="5" borderId="17" xfId="0" applyNumberFormat="1" applyFill="1" applyBorder="1"/>
    <xf numFmtId="164" fontId="0" fillId="6" borderId="7" xfId="0" applyNumberFormat="1" applyFill="1" applyBorder="1"/>
    <xf numFmtId="164" fontId="0" fillId="7" borderId="18" xfId="0" applyNumberFormat="1" applyFill="1" applyBorder="1"/>
    <xf numFmtId="164" fontId="0" fillId="5" borderId="7" xfId="0" applyNumberFormat="1" applyFill="1" applyBorder="1"/>
    <xf numFmtId="164" fontId="0" fillId="7" borderId="6" xfId="0" applyNumberFormat="1" applyFill="1" applyBorder="1"/>
    <xf numFmtId="164" fontId="0" fillId="7" borderId="7" xfId="0" applyNumberFormat="1" applyFill="1" applyBorder="1"/>
    <xf numFmtId="164" fontId="0" fillId="6" borderId="18" xfId="0" applyNumberFormat="1" applyFill="1" applyBorder="1"/>
    <xf numFmtId="164" fontId="0" fillId="5" borderId="18" xfId="0" applyNumberFormat="1" applyFill="1" applyBorder="1"/>
    <xf numFmtId="164" fontId="0" fillId="6" borderId="6" xfId="0" applyNumberFormat="1" applyFill="1" applyBorder="1"/>
    <xf numFmtId="0" fontId="0" fillId="8" borderId="24" xfId="0" applyFill="1" applyBorder="1"/>
    <xf numFmtId="0" fontId="0" fillId="8" borderId="25" xfId="0" applyFill="1" applyBorder="1"/>
    <xf numFmtId="0" fontId="0" fillId="0" borderId="27" xfId="0" applyBorder="1"/>
    <xf numFmtId="0" fontId="0" fillId="8" borderId="26" xfId="0" applyFill="1" applyBorder="1"/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165" fontId="0" fillId="4" borderId="3" xfId="0" applyNumberForma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3" borderId="0" xfId="0" applyFont="1" applyFill="1" applyBorder="1" applyAlignment="1">
      <alignment horizontal="left"/>
    </xf>
    <xf numFmtId="0" fontId="1" fillId="3" borderId="23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23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D5D"/>
      <color rgb="FF4D55FF"/>
      <color rgb="FF4DFF4D"/>
      <color rgb="FF2FFAFF"/>
      <color rgb="FFFE48E4"/>
      <color rgb="FFFEF254"/>
      <color rgb="FFFF19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5544-29C2-49DF-B6CD-B4679E05436A}">
  <dimension ref="A1:Q62"/>
  <sheetViews>
    <sheetView tabSelected="1" topLeftCell="A9" workbookViewId="0">
      <selection activeCell="G21" sqref="G21"/>
    </sheetView>
  </sheetViews>
  <sheetFormatPr defaultRowHeight="15" x14ac:dyDescent="0.25"/>
  <cols>
    <col min="1" max="1" width="16.85546875" customWidth="1"/>
    <col min="2" max="2" width="17.7109375" customWidth="1"/>
    <col min="3" max="4" width="12.140625" bestFit="1" customWidth="1"/>
    <col min="5" max="5" width="9.28515625" bestFit="1" customWidth="1"/>
    <col min="6" max="6" width="11" customWidth="1"/>
    <col min="7" max="7" width="12.140625" bestFit="1" customWidth="1"/>
    <col min="8" max="8" width="11.85546875" customWidth="1"/>
    <col min="9" max="9" width="12.5703125" customWidth="1"/>
    <col min="10" max="10" width="9.28515625" bestFit="1" customWidth="1"/>
    <col min="11" max="11" width="12.140625" bestFit="1" customWidth="1"/>
    <col min="12" max="12" width="9.28515625" bestFit="1" customWidth="1"/>
    <col min="13" max="13" width="11" customWidth="1"/>
    <col min="14" max="14" width="12.42578125" customWidth="1"/>
  </cols>
  <sheetData>
    <row r="1" spans="2:16" x14ac:dyDescent="0.25">
      <c r="C1" s="65" t="s">
        <v>7</v>
      </c>
      <c r="D1" s="65"/>
      <c r="E1" s="66"/>
      <c r="F1" s="55">
        <v>8</v>
      </c>
    </row>
    <row r="2" spans="2:16" x14ac:dyDescent="0.25">
      <c r="C2" s="65" t="s">
        <v>14</v>
      </c>
      <c r="D2" s="65"/>
      <c r="E2" s="66"/>
      <c r="F2" s="55">
        <v>48</v>
      </c>
    </row>
    <row r="3" spans="2:16" x14ac:dyDescent="0.25">
      <c r="C3" s="65" t="s">
        <v>8</v>
      </c>
      <c r="D3" s="65"/>
      <c r="E3" s="66"/>
      <c r="F3" s="54">
        <v>231</v>
      </c>
    </row>
    <row r="4" spans="2:16" x14ac:dyDescent="0.25">
      <c r="C4" s="1"/>
      <c r="D4" s="1"/>
    </row>
    <row r="5" spans="2:16" x14ac:dyDescent="0.25">
      <c r="C5" s="78" t="s">
        <v>10</v>
      </c>
      <c r="D5" s="78"/>
    </row>
    <row r="6" spans="2:16" x14ac:dyDescent="0.25">
      <c r="C6" s="78" t="s">
        <v>11</v>
      </c>
      <c r="D6" s="78"/>
      <c r="E6" s="78"/>
      <c r="F6">
        <f>($F$3) * F1 * 60 * 60</f>
        <v>6652800</v>
      </c>
    </row>
    <row r="7" spans="2:16" x14ac:dyDescent="0.25">
      <c r="C7" s="78" t="s">
        <v>12</v>
      </c>
      <c r="D7" s="78"/>
      <c r="E7" s="78"/>
      <c r="F7">
        <f>($F$3) * F1 * 60</f>
        <v>110880</v>
      </c>
    </row>
    <row r="8" spans="2:16" x14ac:dyDescent="0.25">
      <c r="C8" s="78" t="s">
        <v>13</v>
      </c>
      <c r="D8" s="78"/>
      <c r="E8" s="78"/>
      <c r="F8">
        <f>($F$3) * F1</f>
        <v>1848</v>
      </c>
    </row>
    <row r="11" spans="2:16" x14ac:dyDescent="0.25">
      <c r="E11" s="14" t="s">
        <v>23</v>
      </c>
      <c r="G11" t="s">
        <v>22</v>
      </c>
    </row>
    <row r="12" spans="2:16" x14ac:dyDescent="0.25">
      <c r="C12" s="74" t="s">
        <v>15</v>
      </c>
      <c r="D12" s="75"/>
      <c r="E12" s="55">
        <v>42000</v>
      </c>
      <c r="F12" t="s">
        <v>20</v>
      </c>
      <c r="G12">
        <f>E12</f>
        <v>42000</v>
      </c>
      <c r="H12" t="s">
        <v>20</v>
      </c>
      <c r="I12" t="s">
        <v>24</v>
      </c>
    </row>
    <row r="13" spans="2:16" x14ac:dyDescent="0.25">
      <c r="C13" s="72" t="s">
        <v>16</v>
      </c>
      <c r="D13" s="73"/>
      <c r="E13" s="54">
        <v>43000</v>
      </c>
      <c r="F13" t="s">
        <v>20</v>
      </c>
      <c r="G13">
        <f>E13</f>
        <v>43000</v>
      </c>
      <c r="H13" t="s">
        <v>20</v>
      </c>
      <c r="I13" t="s">
        <v>25</v>
      </c>
    </row>
    <row r="14" spans="2:16" x14ac:dyDescent="0.25">
      <c r="B14" s="6"/>
      <c r="C14" s="76" t="s">
        <v>19</v>
      </c>
      <c r="D14" s="77"/>
      <c r="E14" s="54">
        <v>11.75</v>
      </c>
      <c r="F14" t="s">
        <v>21</v>
      </c>
      <c r="G14">
        <f>($E$14 * $F$1*$F$3)</f>
        <v>21714</v>
      </c>
      <c r="H14" t="s">
        <v>20</v>
      </c>
      <c r="I14" t="s">
        <v>26</v>
      </c>
    </row>
    <row r="15" spans="2:16" ht="15.75" thickBot="1" x14ac:dyDescent="0.3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16" ht="15.75" thickTop="1" x14ac:dyDescent="0.25">
      <c r="C16" s="67" t="s">
        <v>9</v>
      </c>
      <c r="D16" s="65"/>
      <c r="E16" s="65"/>
      <c r="F16" s="65"/>
      <c r="G16" s="65"/>
      <c r="H16" s="65"/>
      <c r="I16" s="68"/>
      <c r="J16" s="69" t="s">
        <v>17</v>
      </c>
      <c r="K16" s="70"/>
      <c r="L16" s="70"/>
      <c r="M16" s="70"/>
      <c r="N16" s="71"/>
      <c r="O16" s="13"/>
      <c r="P16" s="5"/>
    </row>
    <row r="17" spans="1:16" ht="15.75" thickBot="1" x14ac:dyDescent="0.3">
      <c r="C17" s="10" t="s">
        <v>0</v>
      </c>
      <c r="D17" s="8" t="s">
        <v>1</v>
      </c>
      <c r="E17" s="11" t="s">
        <v>2</v>
      </c>
      <c r="F17" s="8" t="s">
        <v>3</v>
      </c>
      <c r="G17" s="9" t="s">
        <v>4</v>
      </c>
      <c r="H17" s="9" t="s">
        <v>1</v>
      </c>
      <c r="I17" s="12" t="s">
        <v>5</v>
      </c>
      <c r="J17" s="11" t="s">
        <v>0</v>
      </c>
      <c r="K17" s="9" t="s">
        <v>1</v>
      </c>
      <c r="L17" s="9" t="s">
        <v>2</v>
      </c>
      <c r="M17" s="9" t="s">
        <v>3</v>
      </c>
      <c r="N17" s="12" t="s">
        <v>4</v>
      </c>
      <c r="O17" s="6"/>
      <c r="P17" s="6"/>
    </row>
    <row r="18" spans="1:16" ht="16.5" thickTop="1" thickBot="1" x14ac:dyDescent="0.3">
      <c r="A18" s="61" t="s">
        <v>27</v>
      </c>
      <c r="B18" s="62">
        <f>$E$12</f>
        <v>42000</v>
      </c>
      <c r="C18" s="15">
        <f>(((($E$12/365)/24)/60)/60)</f>
        <v>1.3318112633181126E-3</v>
      </c>
      <c r="D18" s="16">
        <f>((($E$12/365)/24)/60)</f>
        <v>7.9908675799086754E-2</v>
      </c>
      <c r="E18" s="17">
        <f>(($E$12/365)/24)</f>
        <v>4.7945205479452051</v>
      </c>
      <c r="F18" s="18">
        <f>($E$12/365)</f>
        <v>115.06849315068493</v>
      </c>
      <c r="G18" s="16">
        <f>($E$12/52)</f>
        <v>807.69230769230774</v>
      </c>
      <c r="H18" s="16">
        <f>($E$12/12)</f>
        <v>3500</v>
      </c>
      <c r="I18" s="19">
        <f>($E$12/4)</f>
        <v>10500</v>
      </c>
      <c r="J18" s="20">
        <f>$E$12/$F$6</f>
        <v>6.313131313131313E-3</v>
      </c>
      <c r="K18" s="21">
        <f>$E$12/$F$7</f>
        <v>0.37878787878787878</v>
      </c>
      <c r="L18" s="18">
        <f>$E$12/$F$8</f>
        <v>22.727272727272727</v>
      </c>
      <c r="M18" s="21">
        <f>$E$12/$F$3</f>
        <v>181.81818181818181</v>
      </c>
      <c r="N18" s="22">
        <f>$E$12/$F$2</f>
        <v>875</v>
      </c>
      <c r="O18" s="7"/>
    </row>
    <row r="19" spans="1:16" ht="16.5" thickTop="1" thickBot="1" x14ac:dyDescent="0.3">
      <c r="A19" s="59" t="s">
        <v>28</v>
      </c>
      <c r="B19" s="60">
        <f>$E$13</f>
        <v>43000</v>
      </c>
      <c r="C19" s="23">
        <f>(((($E$13/365)/24)/60)/60)</f>
        <v>1.3635210553018774E-3</v>
      </c>
      <c r="D19" s="24">
        <f>((($E$13/365)/24)/60)</f>
        <v>8.1811263318112643E-2</v>
      </c>
      <c r="E19" s="25">
        <f>(($E$13/365)/24)</f>
        <v>4.9086757990867582</v>
      </c>
      <c r="F19" s="26">
        <f>($E$13/365)</f>
        <v>117.8082191780822</v>
      </c>
      <c r="G19" s="24">
        <f>($E$13/52)</f>
        <v>826.92307692307691</v>
      </c>
      <c r="H19" s="24">
        <f>($E$13/12)</f>
        <v>3583.3333333333335</v>
      </c>
      <c r="I19" s="27">
        <f>($E$13/4)</f>
        <v>10750</v>
      </c>
      <c r="J19" s="28">
        <f>$E$13/$F$6</f>
        <v>6.4634439634439636E-3</v>
      </c>
      <c r="K19" s="29">
        <f>$E$13/$F$7</f>
        <v>0.38780663780663782</v>
      </c>
      <c r="L19" s="26">
        <f>$E$13/$F$8</f>
        <v>23.268398268398268</v>
      </c>
      <c r="M19" s="29">
        <f>$E$13/$F$3</f>
        <v>186.14718614718615</v>
      </c>
      <c r="N19" s="30">
        <f>$E$13/$F$2</f>
        <v>895.83333333333337</v>
      </c>
      <c r="O19" s="7"/>
    </row>
    <row r="20" spans="1:16" ht="16.5" thickTop="1" thickBot="1" x14ac:dyDescent="0.3">
      <c r="A20" s="63" t="s">
        <v>29</v>
      </c>
      <c r="B20" s="64">
        <f>$E$14</f>
        <v>11.75</v>
      </c>
      <c r="C20" s="31">
        <f>(((($G$14 / 365) / 24) / 60) / 60)</f>
        <v>6.8854642313546423E-4</v>
      </c>
      <c r="D20" s="32">
        <f>$G$14/365 / 24 / 60</f>
        <v>4.1312785388127854E-2</v>
      </c>
      <c r="E20" s="32">
        <f>$G$14/365/24</f>
        <v>2.4787671232876711</v>
      </c>
      <c r="F20" s="33">
        <f>$G$14 / 365</f>
        <v>59.490410958904107</v>
      </c>
      <c r="G20" s="32">
        <f>$G$14 / 52</f>
        <v>417.57692307692309</v>
      </c>
      <c r="H20" s="32">
        <f>$G$14/12</f>
        <v>1809.5</v>
      </c>
      <c r="I20" s="34">
        <f>$G$14/4</f>
        <v>5428.5</v>
      </c>
      <c r="J20" s="35">
        <f>(($E$14 / 60) / 60)</f>
        <v>3.2638888888888887E-3</v>
      </c>
      <c r="K20" s="33">
        <f>$E$14/60</f>
        <v>0.19583333333333333</v>
      </c>
      <c r="L20" s="36">
        <f>$E$14</f>
        <v>11.75</v>
      </c>
      <c r="M20" s="37">
        <f>$E$14*$F$1</f>
        <v>94</v>
      </c>
      <c r="N20" s="33">
        <f>$E$14*$F$1*5</f>
        <v>470</v>
      </c>
      <c r="O20" s="7"/>
    </row>
    <row r="21" spans="1:16" ht="16.5" thickTop="1" thickBot="1" x14ac:dyDescent="0.3">
      <c r="A21" s="59" t="s">
        <v>30</v>
      </c>
      <c r="B21" s="62"/>
      <c r="C21" s="38">
        <f>C19-C18</f>
        <v>3.1709791983764802E-5</v>
      </c>
      <c r="D21" s="44">
        <f t="shared" ref="D21:N21" si="0">D19-D18</f>
        <v>1.902587519025889E-3</v>
      </c>
      <c r="E21" s="48">
        <f t="shared" si="0"/>
        <v>0.11415525114155312</v>
      </c>
      <c r="F21" s="48">
        <f t="shared" si="0"/>
        <v>2.7397260273972677</v>
      </c>
      <c r="G21" s="52">
        <f t="shared" si="0"/>
        <v>19.23076923076917</v>
      </c>
      <c r="H21" s="44">
        <f>H19-H18</f>
        <v>83.333333333333485</v>
      </c>
      <c r="I21" s="45">
        <f t="shared" si="0"/>
        <v>250</v>
      </c>
      <c r="J21" s="38">
        <f t="shared" si="0"/>
        <v>1.5031265031265062E-4</v>
      </c>
      <c r="K21" s="39">
        <f t="shared" si="0"/>
        <v>9.0187590187590372E-3</v>
      </c>
      <c r="L21" s="44">
        <f t="shared" si="0"/>
        <v>0.54112554112554179</v>
      </c>
      <c r="M21" s="52">
        <f t="shared" si="0"/>
        <v>4.3290043290043343</v>
      </c>
      <c r="N21" s="45">
        <f t="shared" si="0"/>
        <v>20.833333333333371</v>
      </c>
      <c r="O21" s="7"/>
    </row>
    <row r="22" spans="1:16" ht="16.5" thickTop="1" thickBot="1" x14ac:dyDescent="0.3">
      <c r="A22" s="58" t="s">
        <v>31</v>
      </c>
      <c r="B22" s="62"/>
      <c r="C22" s="40">
        <f>C20-C18</f>
        <v>-6.4326484018264833E-4</v>
      </c>
      <c r="D22" s="46">
        <f t="shared" ref="D22:N22" si="1">D20-D18</f>
        <v>-3.85958904109589E-2</v>
      </c>
      <c r="E22" s="46">
        <f t="shared" si="1"/>
        <v>-2.315753424657534</v>
      </c>
      <c r="F22" s="46">
        <f t="shared" si="1"/>
        <v>-55.578082191780823</v>
      </c>
      <c r="G22" s="51">
        <f t="shared" si="1"/>
        <v>-390.11538461538464</v>
      </c>
      <c r="H22" s="53">
        <f t="shared" si="1"/>
        <v>-1690.5</v>
      </c>
      <c r="I22" s="41">
        <f t="shared" si="1"/>
        <v>-5071.5</v>
      </c>
      <c r="J22" s="40">
        <f t="shared" si="1"/>
        <v>-3.0492424242424244E-3</v>
      </c>
      <c r="K22" s="51">
        <f t="shared" si="1"/>
        <v>-0.18295454545454545</v>
      </c>
      <c r="L22" s="51">
        <f t="shared" si="1"/>
        <v>-10.977272727272727</v>
      </c>
      <c r="M22" s="51">
        <f t="shared" si="1"/>
        <v>-87.818181818181813</v>
      </c>
      <c r="N22" s="41">
        <f t="shared" si="1"/>
        <v>-405</v>
      </c>
      <c r="O22" s="7"/>
    </row>
    <row r="23" spans="1:16" ht="16.5" thickTop="1" thickBot="1" x14ac:dyDescent="0.3">
      <c r="A23" s="58" t="s">
        <v>32</v>
      </c>
      <c r="B23" s="60"/>
      <c r="C23" s="42">
        <f>C20-C19</f>
        <v>-6.7497463216641314E-4</v>
      </c>
      <c r="D23" s="47">
        <f t="shared" ref="D23:N23" si="2">D20-D19</f>
        <v>-4.0498477929984789E-2</v>
      </c>
      <c r="E23" s="47">
        <f t="shared" si="2"/>
        <v>-2.4299086757990871</v>
      </c>
      <c r="F23" s="49">
        <f t="shared" si="2"/>
        <v>-58.31780821917809</v>
      </c>
      <c r="G23" s="50">
        <f t="shared" si="2"/>
        <v>-409.34615384615381</v>
      </c>
      <c r="H23" s="50">
        <f t="shared" si="2"/>
        <v>-1773.8333333333335</v>
      </c>
      <c r="I23" s="43">
        <f t="shared" si="2"/>
        <v>-5321.5</v>
      </c>
      <c r="J23" s="42">
        <f t="shared" si="2"/>
        <v>-3.199555074555075E-3</v>
      </c>
      <c r="K23" s="50">
        <f t="shared" si="2"/>
        <v>-0.19197330447330449</v>
      </c>
      <c r="L23" s="50">
        <f t="shared" si="2"/>
        <v>-11.518398268398268</v>
      </c>
      <c r="M23" s="50">
        <f t="shared" si="2"/>
        <v>-92.147186147186147</v>
      </c>
      <c r="N23" s="43">
        <f t="shared" si="2"/>
        <v>-425.83333333333337</v>
      </c>
      <c r="O23" s="7"/>
    </row>
    <row r="24" spans="1:16" ht="15.75" thickTop="1" x14ac:dyDescent="0.25"/>
    <row r="25" spans="1:16" x14ac:dyDescent="0.25">
      <c r="C25" s="79" t="s">
        <v>18</v>
      </c>
      <c r="D25" s="79"/>
      <c r="E25" s="57">
        <f>100*(1-0.78299)</f>
        <v>21.701000000000004</v>
      </c>
      <c r="F25" s="56"/>
    </row>
    <row r="26" spans="1:16" ht="15.75" thickBot="1" x14ac:dyDescent="0.3"/>
    <row r="27" spans="1:16" ht="15.75" thickTop="1" x14ac:dyDescent="0.25">
      <c r="C27" s="69" t="s">
        <v>9</v>
      </c>
      <c r="D27" s="70"/>
      <c r="E27" s="70"/>
      <c r="F27" s="70"/>
      <c r="G27" s="70"/>
      <c r="H27" s="70"/>
      <c r="I27" s="71"/>
      <c r="J27" s="69" t="s">
        <v>17</v>
      </c>
      <c r="K27" s="70"/>
      <c r="L27" s="70"/>
      <c r="M27" s="70"/>
      <c r="N27" s="71"/>
    </row>
    <row r="28" spans="1:16" ht="15.75" thickBot="1" x14ac:dyDescent="0.3">
      <c r="C28" s="10" t="s">
        <v>0</v>
      </c>
      <c r="D28" s="8" t="s">
        <v>1</v>
      </c>
      <c r="E28" s="11" t="s">
        <v>2</v>
      </c>
      <c r="F28" s="8" t="s">
        <v>3</v>
      </c>
      <c r="G28" s="9" t="s">
        <v>4</v>
      </c>
      <c r="H28" s="9" t="s">
        <v>1</v>
      </c>
      <c r="I28" s="12" t="s">
        <v>5</v>
      </c>
      <c r="J28" s="11" t="s">
        <v>0</v>
      </c>
      <c r="K28" s="9" t="s">
        <v>1</v>
      </c>
      <c r="L28" s="9" t="s">
        <v>2</v>
      </c>
      <c r="M28" s="9" t="s">
        <v>3</v>
      </c>
      <c r="N28" s="12" t="s">
        <v>4</v>
      </c>
    </row>
    <row r="29" spans="1:16" ht="16.5" thickTop="1" thickBot="1" x14ac:dyDescent="0.3">
      <c r="A29" s="61" t="s">
        <v>27</v>
      </c>
      <c r="B29" s="62">
        <f>$E$12</f>
        <v>42000</v>
      </c>
      <c r="C29" s="15">
        <f>(((($E$12/365)/24)/60)/60) * (1 - ($E$25 / 100))</f>
        <v>1.0427949010654489E-3</v>
      </c>
      <c r="D29" s="16">
        <f>((($E$12/365)/24)/60) * (1 - ($E$25 / 100))</f>
        <v>6.256769406392694E-2</v>
      </c>
      <c r="E29" s="17">
        <f>(($E$12/365)/24) * (1 - ($E$25 / 100))</f>
        <v>3.754061643835616</v>
      </c>
      <c r="F29" s="18">
        <f>($E$12/365) * (1 - ($E$25 / 100))</f>
        <v>90.097479452054785</v>
      </c>
      <c r="G29" s="16">
        <f>($E$12/52) * (1 - ($E$25 / 100))</f>
        <v>632.41499999999996</v>
      </c>
      <c r="H29" s="16">
        <f>($E$12/12) * (1 - ($E$25 / 100))</f>
        <v>2740.4649999999997</v>
      </c>
      <c r="I29" s="19">
        <f>($E$12/4) * (1 - ($E$25 / 100))</f>
        <v>8221.3950000000004</v>
      </c>
      <c r="J29" s="20">
        <f>$E$12/$F$6 * (1 - ($E$25 / 100))</f>
        <v>4.9431186868686867E-3</v>
      </c>
      <c r="K29" s="21">
        <f>$E$12/$F$7 * (1 - ($E$25 / 100))</f>
        <v>0.29658712121212122</v>
      </c>
      <c r="L29" s="18">
        <f>$E$12/$F$8 * (1 - ($E$25 / 100))</f>
        <v>17.795227272727271</v>
      </c>
      <c r="M29" s="21">
        <f>$E$12/$F$3 * (1 - ($E$25 / 100))</f>
        <v>142.36181818181817</v>
      </c>
      <c r="N29" s="22">
        <f>$E$12/$F$2 * (1 - ($E$25 / 100))</f>
        <v>685.11624999999992</v>
      </c>
    </row>
    <row r="30" spans="1:16" ht="16.5" thickTop="1" thickBot="1" x14ac:dyDescent="0.3">
      <c r="A30" s="59" t="s">
        <v>28</v>
      </c>
      <c r="B30" s="60">
        <f>$E$13</f>
        <v>43000</v>
      </c>
      <c r="C30" s="23">
        <f>(((($E$13/365)/24)/60)/60) * (1 - ($E$25 / 100))</f>
        <v>1.067623351090817E-3</v>
      </c>
      <c r="D30" s="24">
        <f>((($E$13/365)/24)/60) * (1 - ($E$25 / 100))</f>
        <v>6.4057401065449021E-2</v>
      </c>
      <c r="E30" s="25">
        <f>(($E$13/365)/24) * (1 - ($E$25 / 100))</f>
        <v>3.8434440639269405</v>
      </c>
      <c r="F30" s="26">
        <f>($E$13/365) * (1 - ($E$25 / 100))</f>
        <v>92.242657534246575</v>
      </c>
      <c r="G30" s="24">
        <f>($E$13/52) * (1 - ($E$25 / 100))</f>
        <v>647.47249999999997</v>
      </c>
      <c r="H30" s="24">
        <f>($E$13/12) * (1 - ($E$25 / 100))</f>
        <v>2805.7141666666666</v>
      </c>
      <c r="I30" s="27">
        <f>($E$13/4) * (1 - ($E$25 / 100))</f>
        <v>8417.1424999999999</v>
      </c>
      <c r="J30" s="28">
        <f>$E$13/$F$6 * (1 - ($E$25 / 100))</f>
        <v>5.0608119889369889E-3</v>
      </c>
      <c r="K30" s="29">
        <f>$E$13/$F$7 * (1 - ($E$25 / 100))</f>
        <v>0.30364871933621934</v>
      </c>
      <c r="L30" s="26">
        <f>$E$13/$F$8 * (1 - ($E$25 / 100))</f>
        <v>18.218923160173158</v>
      </c>
      <c r="M30" s="29">
        <f>$E$13/$F$3 * (1 - ($E$25 / 100))</f>
        <v>145.75138528138527</v>
      </c>
      <c r="N30" s="30">
        <f>$E$13/$F$2 * (1 - ($E$25 / 100))</f>
        <v>701.42854166666666</v>
      </c>
    </row>
    <row r="31" spans="1:16" ht="16.5" thickTop="1" thickBot="1" x14ac:dyDescent="0.3">
      <c r="A31" s="63" t="s">
        <v>29</v>
      </c>
      <c r="B31" s="64">
        <f>$E$14</f>
        <v>11.75</v>
      </c>
      <c r="C31" s="31">
        <f>(((($G$14 / 365) / 24) / 60) / 60) * (1 - ($E$25 / 100))</f>
        <v>5.3912496385083713E-4</v>
      </c>
      <c r="D31" s="32">
        <f>$G$14/365 / 24 / 60 * (1 - ($E$25 / 100))</f>
        <v>3.2347497831050225E-2</v>
      </c>
      <c r="E31" s="32">
        <f>$G$14/365/24 * (1 - ($E$25 / 100))</f>
        <v>1.9408498698630134</v>
      </c>
      <c r="F31" s="33">
        <f>$G$14 / 365 * (1 - ($E$25 / 100))</f>
        <v>46.580396876712328</v>
      </c>
      <c r="G31" s="32">
        <f>$G$14 / 52 * (1 - ($E$25 / 100))</f>
        <v>326.95855499999999</v>
      </c>
      <c r="H31" s="32">
        <f>$G$14/12 * (1 - ($E$25 / 100))</f>
        <v>1416.8204049999999</v>
      </c>
      <c r="I31" s="34">
        <f>$G$14/4 * (1 - ($E$25 / 100))</f>
        <v>4250.4612149999994</v>
      </c>
      <c r="J31" s="35">
        <f>(($E$14 / 60) / 60) * (1 - ($E$25 / 100))</f>
        <v>2.5555923611111108E-3</v>
      </c>
      <c r="K31" s="33">
        <f>$E$14/60 * (1 - ($E$25 / 100))</f>
        <v>0.15333554166666666</v>
      </c>
      <c r="L31" s="36">
        <f>$E$14 * (1 - ($E$25 / 100))</f>
        <v>9.2001324999999987</v>
      </c>
      <c r="M31" s="37">
        <f>$E$14*$F$1 * (1 - ($E$25 / 100))</f>
        <v>73.60105999999999</v>
      </c>
      <c r="N31" s="33">
        <f>$E$14*$F$1*5 * (1 - ($E$25 / 100))</f>
        <v>368.00529999999998</v>
      </c>
      <c r="O31" s="7"/>
    </row>
    <row r="32" spans="1:16" ht="16.5" thickTop="1" thickBot="1" x14ac:dyDescent="0.3">
      <c r="A32" s="59" t="s">
        <v>30</v>
      </c>
      <c r="B32" s="62"/>
      <c r="C32" s="38">
        <f>C30-C29</f>
        <v>2.4828450025368059E-5</v>
      </c>
      <c r="D32" s="44">
        <f t="shared" ref="D32:N32" si="3">D30-D29</f>
        <v>1.4897070015220809E-3</v>
      </c>
      <c r="E32" s="48">
        <f t="shared" si="3"/>
        <v>8.9382420091324466E-2</v>
      </c>
      <c r="F32" s="48">
        <f t="shared" si="3"/>
        <v>2.1451780821917907</v>
      </c>
      <c r="G32" s="52">
        <f t="shared" si="3"/>
        <v>15.057500000000005</v>
      </c>
      <c r="H32" s="44">
        <f t="shared" si="3"/>
        <v>65.249166666666952</v>
      </c>
      <c r="I32" s="45">
        <f t="shared" si="3"/>
        <v>195.74749999999949</v>
      </c>
      <c r="J32" s="38">
        <f t="shared" si="3"/>
        <v>1.1769330206830211E-4</v>
      </c>
      <c r="K32" s="39">
        <f t="shared" si="3"/>
        <v>7.0615981240981229E-3</v>
      </c>
      <c r="L32" s="44">
        <f t="shared" si="3"/>
        <v>0.42369588744588782</v>
      </c>
      <c r="M32" s="52">
        <f t="shared" si="3"/>
        <v>3.3895670995671026</v>
      </c>
      <c r="N32" s="45">
        <f t="shared" si="3"/>
        <v>16.312291666666738</v>
      </c>
    </row>
    <row r="33" spans="1:17" ht="16.5" thickTop="1" thickBot="1" x14ac:dyDescent="0.3">
      <c r="A33" s="58" t="s">
        <v>31</v>
      </c>
      <c r="B33" s="62"/>
      <c r="C33" s="40">
        <f>C31-C29</f>
        <v>-5.0366993721461179E-4</v>
      </c>
      <c r="D33" s="46">
        <f t="shared" ref="D33:N33" si="4">D31-D29</f>
        <v>-3.0220196232876716E-2</v>
      </c>
      <c r="E33" s="46">
        <f t="shared" si="4"/>
        <v>-1.8132117739726026</v>
      </c>
      <c r="F33" s="46">
        <f t="shared" si="4"/>
        <v>-43.517082575342457</v>
      </c>
      <c r="G33" s="51">
        <f t="shared" si="4"/>
        <v>-305.45644499999997</v>
      </c>
      <c r="H33" s="53">
        <f t="shared" si="4"/>
        <v>-1323.6445949999998</v>
      </c>
      <c r="I33" s="41">
        <f t="shared" si="4"/>
        <v>-3970.9337850000011</v>
      </c>
      <c r="J33" s="40">
        <f t="shared" si="4"/>
        <v>-2.3875263257575759E-3</v>
      </c>
      <c r="K33" s="51">
        <f t="shared" si="4"/>
        <v>-0.14325157954545456</v>
      </c>
      <c r="L33" s="51">
        <f t="shared" si="4"/>
        <v>-8.595094772727272</v>
      </c>
      <c r="M33" s="51">
        <f t="shared" si="4"/>
        <v>-68.760758181818176</v>
      </c>
      <c r="N33" s="41">
        <f t="shared" si="4"/>
        <v>-317.11094999999995</v>
      </c>
    </row>
    <row r="34" spans="1:17" ht="16.5" thickTop="1" thickBot="1" x14ac:dyDescent="0.3">
      <c r="A34" s="58" t="s">
        <v>32</v>
      </c>
      <c r="B34" s="60"/>
      <c r="C34" s="42">
        <f>C31-C30</f>
        <v>-5.2849838723997985E-4</v>
      </c>
      <c r="D34" s="47">
        <f t="shared" ref="D34:N34" si="5">D31-D30</f>
        <v>-3.1709903234398797E-2</v>
      </c>
      <c r="E34" s="47">
        <f t="shared" si="5"/>
        <v>-1.902594194063927</v>
      </c>
      <c r="F34" s="49">
        <f t="shared" si="5"/>
        <v>-45.662260657534247</v>
      </c>
      <c r="G34" s="50">
        <f t="shared" si="5"/>
        <v>-320.51394499999998</v>
      </c>
      <c r="H34" s="50">
        <f t="shared" si="5"/>
        <v>-1388.8937616666667</v>
      </c>
      <c r="I34" s="43">
        <f t="shared" si="5"/>
        <v>-4166.6812850000006</v>
      </c>
      <c r="J34" s="42">
        <f t="shared" si="5"/>
        <v>-2.505219627825878E-3</v>
      </c>
      <c r="K34" s="50">
        <f t="shared" si="5"/>
        <v>-0.15031317766955268</v>
      </c>
      <c r="L34" s="50">
        <f t="shared" si="5"/>
        <v>-9.0187906601731598</v>
      </c>
      <c r="M34" s="50">
        <f t="shared" si="5"/>
        <v>-72.150325281385278</v>
      </c>
      <c r="N34" s="43">
        <f t="shared" si="5"/>
        <v>-333.42324166666668</v>
      </c>
    </row>
    <row r="35" spans="1:17" ht="15.75" thickTop="1" x14ac:dyDescent="0.25"/>
    <row r="37" spans="1:17" x14ac:dyDescent="0.25">
      <c r="C37" s="2"/>
      <c r="D37" s="65" t="s">
        <v>9</v>
      </c>
      <c r="E37" s="65"/>
      <c r="F37" s="65"/>
      <c r="G37" s="65"/>
      <c r="H37" s="65"/>
      <c r="I37" s="65"/>
      <c r="J37" s="68"/>
      <c r="K37" s="67" t="s">
        <v>17</v>
      </c>
      <c r="L37" s="65"/>
      <c r="M37" s="65"/>
      <c r="N37" s="65"/>
      <c r="O37" s="65"/>
      <c r="P37" s="65"/>
      <c r="Q37" s="65"/>
    </row>
    <row r="38" spans="1:17" ht="15.75" thickBot="1" x14ac:dyDescent="0.3">
      <c r="C38" s="3" t="s">
        <v>6</v>
      </c>
      <c r="D38" s="4" t="s">
        <v>0</v>
      </c>
      <c r="E38" s="4" t="s">
        <v>1</v>
      </c>
      <c r="F38" s="4" t="s">
        <v>2</v>
      </c>
      <c r="G38" s="4" t="s">
        <v>3</v>
      </c>
      <c r="H38" s="4" t="s">
        <v>4</v>
      </c>
      <c r="I38" s="4" t="s">
        <v>1</v>
      </c>
      <c r="J38" s="3" t="s">
        <v>5</v>
      </c>
      <c r="K38" s="4" t="s">
        <v>0</v>
      </c>
      <c r="L38" s="4" t="s">
        <v>1</v>
      </c>
      <c r="M38" s="4" t="s">
        <v>2</v>
      </c>
      <c r="N38" s="4" t="s">
        <v>3</v>
      </c>
      <c r="O38" s="4" t="s">
        <v>4</v>
      </c>
      <c r="P38" s="6"/>
      <c r="Q38" s="6"/>
    </row>
    <row r="39" spans="1:17" ht="15.75" thickTop="1" x14ac:dyDescent="0.25">
      <c r="C39" s="2">
        <v>500</v>
      </c>
      <c r="D39">
        <f>((((C39/365)/24)/60)/60)</f>
        <v>1.5854895991882292E-5</v>
      </c>
      <c r="E39">
        <f>(((C39/365)/24)/60)</f>
        <v>9.5129375951293754E-4</v>
      </c>
      <c r="F39">
        <f>((C39/365)/24)</f>
        <v>5.7077625570776253E-2</v>
      </c>
      <c r="G39">
        <f>(C39/365)</f>
        <v>1.3698630136986301</v>
      </c>
      <c r="H39">
        <f>C39/52</f>
        <v>9.615384615384615</v>
      </c>
      <c r="I39">
        <f>C39/12</f>
        <v>41.666666666666664</v>
      </c>
      <c r="J39" s="2">
        <f>I39*3</f>
        <v>125</v>
      </c>
      <c r="K39">
        <f>C39/$F$6</f>
        <v>7.5156325156325161E-5</v>
      </c>
      <c r="L39">
        <f>C39 / $F$7</f>
        <v>4.5093795093795091E-3</v>
      </c>
      <c r="M39">
        <f t="shared" ref="M39:M62" si="6">C39/$F$8</f>
        <v>0.27056277056277056</v>
      </c>
      <c r="N39">
        <f t="shared" ref="N39:N62" si="7">C39/$F$3</f>
        <v>2.1645021645021645</v>
      </c>
      <c r="O39">
        <f t="shared" ref="O39:O62" si="8">C39/$F$2</f>
        <v>10.416666666666666</v>
      </c>
      <c r="Q39" s="6"/>
    </row>
    <row r="40" spans="1:17" x14ac:dyDescent="0.25">
      <c r="C40" s="2">
        <v>1000</v>
      </c>
      <c r="D40">
        <f t="shared" ref="D40:D62" si="9">((((C40/365)/24)/60)/60)</f>
        <v>3.1709791983764585E-5</v>
      </c>
      <c r="E40">
        <f t="shared" ref="E40:E62" si="10">(((C40/365)/24)/60)</f>
        <v>1.9025875190258751E-3</v>
      </c>
      <c r="F40">
        <f t="shared" ref="F40:F62" si="11">((C40/365)/24)</f>
        <v>0.11415525114155251</v>
      </c>
      <c r="G40">
        <f t="shared" ref="G40:G62" si="12">(C40/365)</f>
        <v>2.7397260273972601</v>
      </c>
      <c r="H40">
        <f t="shared" ref="H40:H61" si="13">C40/52</f>
        <v>19.23076923076923</v>
      </c>
      <c r="I40">
        <f t="shared" ref="I40:I62" si="14">C40/12</f>
        <v>83.333333333333329</v>
      </c>
      <c r="J40" s="2">
        <f t="shared" ref="J40:J62" si="15">I40*3</f>
        <v>250</v>
      </c>
      <c r="K40">
        <f>C40/$F$6</f>
        <v>1.5031265031265032E-4</v>
      </c>
      <c r="L40">
        <f t="shared" ref="L40:L62" si="16">C40 / $F$7</f>
        <v>9.0187590187590181E-3</v>
      </c>
      <c r="M40">
        <f t="shared" si="6"/>
        <v>0.54112554112554112</v>
      </c>
      <c r="N40">
        <f t="shared" si="7"/>
        <v>4.329004329004329</v>
      </c>
      <c r="O40">
        <f t="shared" si="8"/>
        <v>20.833333333333332</v>
      </c>
    </row>
    <row r="41" spans="1:17" x14ac:dyDescent="0.25">
      <c r="C41" s="2">
        <v>2000</v>
      </c>
      <c r="D41">
        <f t="shared" si="9"/>
        <v>6.3419583967529169E-5</v>
      </c>
      <c r="E41">
        <f t="shared" si="10"/>
        <v>3.8051750380517502E-3</v>
      </c>
      <c r="F41">
        <f t="shared" si="11"/>
        <v>0.22831050228310501</v>
      </c>
      <c r="G41">
        <f t="shared" si="12"/>
        <v>5.4794520547945202</v>
      </c>
      <c r="H41">
        <f t="shared" si="13"/>
        <v>38.46153846153846</v>
      </c>
      <c r="I41">
        <f t="shared" si="14"/>
        <v>166.66666666666666</v>
      </c>
      <c r="J41" s="2">
        <f t="shared" si="15"/>
        <v>500</v>
      </c>
      <c r="K41">
        <f t="shared" ref="K41:K62" si="17">C41/$F$6</f>
        <v>3.0062530062530064E-4</v>
      </c>
      <c r="L41">
        <f t="shared" si="16"/>
        <v>1.8037518037518036E-2</v>
      </c>
      <c r="M41">
        <f t="shared" si="6"/>
        <v>1.0822510822510822</v>
      </c>
      <c r="N41">
        <f t="shared" si="7"/>
        <v>8.6580086580086579</v>
      </c>
      <c r="O41">
        <f t="shared" si="8"/>
        <v>41.666666666666664</v>
      </c>
    </row>
    <row r="42" spans="1:17" x14ac:dyDescent="0.25">
      <c r="C42" s="2">
        <v>2500</v>
      </c>
      <c r="D42">
        <f t="shared" si="9"/>
        <v>7.9274479959411475E-5</v>
      </c>
      <c r="E42">
        <f t="shared" si="10"/>
        <v>4.7564687975646886E-3</v>
      </c>
      <c r="F42">
        <f t="shared" si="11"/>
        <v>0.28538812785388129</v>
      </c>
      <c r="G42">
        <f t="shared" si="12"/>
        <v>6.8493150684931505</v>
      </c>
      <c r="H42">
        <f t="shared" si="13"/>
        <v>48.07692307692308</v>
      </c>
      <c r="I42">
        <f t="shared" si="14"/>
        <v>208.33333333333334</v>
      </c>
      <c r="J42" s="2">
        <f t="shared" si="15"/>
        <v>625</v>
      </c>
      <c r="K42">
        <f t="shared" si="17"/>
        <v>3.7578162578162579E-4</v>
      </c>
      <c r="L42">
        <f t="shared" si="16"/>
        <v>2.2546897546897548E-2</v>
      </c>
      <c r="M42">
        <f t="shared" si="6"/>
        <v>1.3528138528138529</v>
      </c>
      <c r="N42">
        <f t="shared" si="7"/>
        <v>10.822510822510823</v>
      </c>
      <c r="O42">
        <f t="shared" si="8"/>
        <v>52.083333333333336</v>
      </c>
    </row>
    <row r="43" spans="1:17" x14ac:dyDescent="0.25">
      <c r="C43" s="2">
        <v>5000</v>
      </c>
      <c r="D43">
        <f t="shared" si="9"/>
        <v>1.5854895991882295E-4</v>
      </c>
      <c r="E43">
        <f t="shared" si="10"/>
        <v>9.5129375951293772E-3</v>
      </c>
      <c r="F43">
        <f t="shared" si="11"/>
        <v>0.57077625570776258</v>
      </c>
      <c r="G43">
        <f t="shared" si="12"/>
        <v>13.698630136986301</v>
      </c>
      <c r="H43">
        <f t="shared" si="13"/>
        <v>96.15384615384616</v>
      </c>
      <c r="I43">
        <f t="shared" si="14"/>
        <v>416.66666666666669</v>
      </c>
      <c r="J43" s="2">
        <f t="shared" si="15"/>
        <v>1250</v>
      </c>
      <c r="K43">
        <f t="shared" si="17"/>
        <v>7.5156325156325158E-4</v>
      </c>
      <c r="L43">
        <f t="shared" si="16"/>
        <v>4.5093795093795096E-2</v>
      </c>
      <c r="M43">
        <f t="shared" si="6"/>
        <v>2.7056277056277058</v>
      </c>
      <c r="N43">
        <f t="shared" si="7"/>
        <v>21.645021645021647</v>
      </c>
      <c r="O43">
        <f t="shared" si="8"/>
        <v>104.16666666666667</v>
      </c>
    </row>
    <row r="44" spans="1:17" x14ac:dyDescent="0.25">
      <c r="C44" s="2">
        <v>10000</v>
      </c>
      <c r="D44">
        <f t="shared" si="9"/>
        <v>3.170979198376459E-4</v>
      </c>
      <c r="E44">
        <f t="shared" si="10"/>
        <v>1.9025875190258754E-2</v>
      </c>
      <c r="F44">
        <f t="shared" si="11"/>
        <v>1.1415525114155252</v>
      </c>
      <c r="G44">
        <f t="shared" si="12"/>
        <v>27.397260273972602</v>
      </c>
      <c r="H44">
        <f t="shared" si="13"/>
        <v>192.30769230769232</v>
      </c>
      <c r="I44">
        <f t="shared" si="14"/>
        <v>833.33333333333337</v>
      </c>
      <c r="J44" s="2">
        <f t="shared" si="15"/>
        <v>2500</v>
      </c>
      <c r="K44">
        <f t="shared" si="17"/>
        <v>1.5031265031265032E-3</v>
      </c>
      <c r="L44">
        <f t="shared" si="16"/>
        <v>9.0187590187590191E-2</v>
      </c>
      <c r="M44">
        <f t="shared" si="6"/>
        <v>5.4112554112554117</v>
      </c>
      <c r="N44">
        <f t="shared" si="7"/>
        <v>43.290043290043293</v>
      </c>
      <c r="O44">
        <f t="shared" si="8"/>
        <v>208.33333333333334</v>
      </c>
    </row>
    <row r="45" spans="1:17" x14ac:dyDescent="0.25">
      <c r="C45" s="2">
        <v>15000</v>
      </c>
      <c r="D45">
        <f t="shared" si="9"/>
        <v>4.7564687975646877E-4</v>
      </c>
      <c r="E45">
        <f t="shared" si="10"/>
        <v>2.8538812785388126E-2</v>
      </c>
      <c r="F45">
        <f t="shared" si="11"/>
        <v>1.7123287671232876</v>
      </c>
      <c r="G45">
        <f t="shared" si="12"/>
        <v>41.095890410958901</v>
      </c>
      <c r="H45">
        <f t="shared" si="13"/>
        <v>288.46153846153845</v>
      </c>
      <c r="I45">
        <f t="shared" si="14"/>
        <v>1250</v>
      </c>
      <c r="J45" s="2">
        <f t="shared" si="15"/>
        <v>3750</v>
      </c>
      <c r="K45">
        <f t="shared" si="17"/>
        <v>2.2546897546897545E-3</v>
      </c>
      <c r="L45">
        <f t="shared" si="16"/>
        <v>0.13528138528138528</v>
      </c>
      <c r="M45">
        <f t="shared" si="6"/>
        <v>8.1168831168831161</v>
      </c>
      <c r="N45">
        <f t="shared" si="7"/>
        <v>64.935064935064929</v>
      </c>
      <c r="O45">
        <f t="shared" si="8"/>
        <v>312.5</v>
      </c>
    </row>
    <row r="46" spans="1:17" x14ac:dyDescent="0.25">
      <c r="C46" s="2">
        <v>20000</v>
      </c>
      <c r="D46">
        <f t="shared" si="9"/>
        <v>6.341958396752918E-4</v>
      </c>
      <c r="E46">
        <f t="shared" si="10"/>
        <v>3.8051750380517509E-2</v>
      </c>
      <c r="F46">
        <f t="shared" si="11"/>
        <v>2.2831050228310503</v>
      </c>
      <c r="G46">
        <f t="shared" si="12"/>
        <v>54.794520547945204</v>
      </c>
      <c r="H46">
        <f t="shared" si="13"/>
        <v>384.61538461538464</v>
      </c>
      <c r="I46">
        <f t="shared" si="14"/>
        <v>1666.6666666666667</v>
      </c>
      <c r="J46" s="2">
        <f t="shared" si="15"/>
        <v>5000</v>
      </c>
      <c r="K46">
        <f t="shared" si="17"/>
        <v>3.0062530062530063E-3</v>
      </c>
      <c r="L46">
        <f t="shared" si="16"/>
        <v>0.18037518037518038</v>
      </c>
      <c r="M46">
        <f t="shared" si="6"/>
        <v>10.822510822510823</v>
      </c>
      <c r="N46">
        <f t="shared" si="7"/>
        <v>86.580086580086586</v>
      </c>
      <c r="O46">
        <f t="shared" si="8"/>
        <v>416.66666666666669</v>
      </c>
    </row>
    <row r="47" spans="1:17" x14ac:dyDescent="0.25">
      <c r="C47" s="2">
        <v>25000</v>
      </c>
      <c r="D47">
        <f t="shared" si="9"/>
        <v>7.9274479959411462E-4</v>
      </c>
      <c r="E47">
        <f t="shared" si="10"/>
        <v>4.7564687975646877E-2</v>
      </c>
      <c r="F47">
        <f t="shared" si="11"/>
        <v>2.8538812785388128</v>
      </c>
      <c r="G47">
        <f t="shared" si="12"/>
        <v>68.493150684931507</v>
      </c>
      <c r="H47">
        <f t="shared" si="13"/>
        <v>480.76923076923077</v>
      </c>
      <c r="I47">
        <f t="shared" si="14"/>
        <v>2083.3333333333335</v>
      </c>
      <c r="J47" s="2">
        <f t="shared" si="15"/>
        <v>6250</v>
      </c>
      <c r="K47">
        <f t="shared" si="17"/>
        <v>3.7578162578162577E-3</v>
      </c>
      <c r="L47">
        <f t="shared" si="16"/>
        <v>0.22546897546897546</v>
      </c>
      <c r="M47">
        <f t="shared" si="6"/>
        <v>13.528138528138529</v>
      </c>
      <c r="N47">
        <f t="shared" si="7"/>
        <v>108.22510822510823</v>
      </c>
      <c r="O47">
        <f t="shared" si="8"/>
        <v>520.83333333333337</v>
      </c>
    </row>
    <row r="48" spans="1:17" x14ac:dyDescent="0.25">
      <c r="C48" s="2">
        <v>30000</v>
      </c>
      <c r="D48">
        <f t="shared" si="9"/>
        <v>9.5129375951293754E-4</v>
      </c>
      <c r="E48">
        <f t="shared" si="10"/>
        <v>5.7077625570776253E-2</v>
      </c>
      <c r="F48">
        <f t="shared" si="11"/>
        <v>3.4246575342465753</v>
      </c>
      <c r="G48">
        <f t="shared" si="12"/>
        <v>82.191780821917803</v>
      </c>
      <c r="H48">
        <f t="shared" si="13"/>
        <v>576.92307692307691</v>
      </c>
      <c r="I48">
        <f t="shared" si="14"/>
        <v>2500</v>
      </c>
      <c r="J48" s="2">
        <f t="shared" si="15"/>
        <v>7500</v>
      </c>
      <c r="K48">
        <f t="shared" si="17"/>
        <v>4.5093795093795091E-3</v>
      </c>
      <c r="L48">
        <f t="shared" si="16"/>
        <v>0.27056277056277056</v>
      </c>
      <c r="M48">
        <f t="shared" si="6"/>
        <v>16.233766233766232</v>
      </c>
      <c r="N48">
        <f t="shared" si="7"/>
        <v>129.87012987012986</v>
      </c>
      <c r="O48">
        <f t="shared" si="8"/>
        <v>625</v>
      </c>
    </row>
    <row r="49" spans="3:15" x14ac:dyDescent="0.25">
      <c r="C49" s="2">
        <v>35000</v>
      </c>
      <c r="D49">
        <f t="shared" si="9"/>
        <v>1.1098427194317607E-3</v>
      </c>
      <c r="E49">
        <f t="shared" si="10"/>
        <v>6.6590563165905642E-2</v>
      </c>
      <c r="F49">
        <f t="shared" si="11"/>
        <v>3.9954337899543382</v>
      </c>
      <c r="G49">
        <f t="shared" si="12"/>
        <v>95.890410958904113</v>
      </c>
      <c r="H49">
        <f t="shared" si="13"/>
        <v>673.07692307692309</v>
      </c>
      <c r="I49">
        <f t="shared" si="14"/>
        <v>2916.6666666666665</v>
      </c>
      <c r="J49" s="2">
        <f t="shared" si="15"/>
        <v>8750</v>
      </c>
      <c r="K49">
        <f t="shared" si="17"/>
        <v>5.2609427609427613E-3</v>
      </c>
      <c r="L49">
        <f t="shared" si="16"/>
        <v>0.31565656565656564</v>
      </c>
      <c r="M49">
        <f t="shared" si="6"/>
        <v>18.939393939393938</v>
      </c>
      <c r="N49">
        <f t="shared" si="7"/>
        <v>151.5151515151515</v>
      </c>
      <c r="O49">
        <f t="shared" si="8"/>
        <v>729.16666666666663</v>
      </c>
    </row>
    <row r="50" spans="3:15" x14ac:dyDescent="0.25">
      <c r="C50" s="2">
        <v>40000</v>
      </c>
      <c r="D50">
        <f t="shared" si="9"/>
        <v>1.2683916793505836E-3</v>
      </c>
      <c r="E50">
        <f t="shared" si="10"/>
        <v>7.6103500761035017E-2</v>
      </c>
      <c r="F50">
        <f t="shared" si="11"/>
        <v>4.5662100456621006</v>
      </c>
      <c r="G50">
        <f t="shared" si="12"/>
        <v>109.58904109589041</v>
      </c>
      <c r="H50">
        <f t="shared" si="13"/>
        <v>769.23076923076928</v>
      </c>
      <c r="I50">
        <f t="shared" si="14"/>
        <v>3333.3333333333335</v>
      </c>
      <c r="J50" s="2">
        <f t="shared" si="15"/>
        <v>10000</v>
      </c>
      <c r="K50">
        <f t="shared" si="17"/>
        <v>6.0125060125060126E-3</v>
      </c>
      <c r="L50">
        <f t="shared" si="16"/>
        <v>0.36075036075036077</v>
      </c>
      <c r="M50">
        <f t="shared" si="6"/>
        <v>21.645021645021647</v>
      </c>
      <c r="N50">
        <f t="shared" si="7"/>
        <v>173.16017316017317</v>
      </c>
      <c r="O50">
        <f t="shared" si="8"/>
        <v>833.33333333333337</v>
      </c>
    </row>
    <row r="51" spans="3:15" x14ac:dyDescent="0.25">
      <c r="C51" s="2">
        <v>45000</v>
      </c>
      <c r="D51">
        <f t="shared" si="9"/>
        <v>1.4269406392694065E-3</v>
      </c>
      <c r="E51">
        <f t="shared" si="10"/>
        <v>8.5616438356164393E-2</v>
      </c>
      <c r="F51">
        <f t="shared" si="11"/>
        <v>5.1369863013698636</v>
      </c>
      <c r="G51">
        <f t="shared" si="12"/>
        <v>123.28767123287672</v>
      </c>
      <c r="H51">
        <f t="shared" si="13"/>
        <v>865.38461538461536</v>
      </c>
      <c r="I51">
        <f t="shared" si="14"/>
        <v>3750</v>
      </c>
      <c r="J51" s="2">
        <f t="shared" si="15"/>
        <v>11250</v>
      </c>
      <c r="K51">
        <f t="shared" si="17"/>
        <v>6.764069264069264E-3</v>
      </c>
      <c r="L51">
        <f t="shared" si="16"/>
        <v>0.40584415584415584</v>
      </c>
      <c r="M51">
        <f t="shared" si="6"/>
        <v>24.350649350649352</v>
      </c>
      <c r="N51">
        <f t="shared" si="7"/>
        <v>194.80519480519482</v>
      </c>
      <c r="O51">
        <f t="shared" si="8"/>
        <v>937.5</v>
      </c>
    </row>
    <row r="52" spans="3:15" x14ac:dyDescent="0.25">
      <c r="C52" s="2">
        <v>50000</v>
      </c>
      <c r="D52">
        <f t="shared" si="9"/>
        <v>1.5854895991882292E-3</v>
      </c>
      <c r="E52">
        <f t="shared" si="10"/>
        <v>9.5129375951293754E-2</v>
      </c>
      <c r="F52">
        <f t="shared" si="11"/>
        <v>5.7077625570776256</v>
      </c>
      <c r="G52">
        <f t="shared" si="12"/>
        <v>136.98630136986301</v>
      </c>
      <c r="H52">
        <f t="shared" si="13"/>
        <v>961.53846153846155</v>
      </c>
      <c r="I52">
        <f t="shared" si="14"/>
        <v>4166.666666666667</v>
      </c>
      <c r="J52" s="2">
        <f t="shared" si="15"/>
        <v>12500</v>
      </c>
      <c r="K52">
        <f t="shared" si="17"/>
        <v>7.5156325156325154E-3</v>
      </c>
      <c r="L52">
        <f t="shared" si="16"/>
        <v>0.45093795093795092</v>
      </c>
      <c r="M52">
        <f t="shared" si="6"/>
        <v>27.056277056277057</v>
      </c>
      <c r="N52">
        <f t="shared" si="7"/>
        <v>216.45021645021646</v>
      </c>
      <c r="O52">
        <f t="shared" si="8"/>
        <v>1041.6666666666667</v>
      </c>
    </row>
    <row r="53" spans="3:15" x14ac:dyDescent="0.25">
      <c r="C53" s="2">
        <v>55000</v>
      </c>
      <c r="D53">
        <f t="shared" si="9"/>
        <v>1.7440385591070524E-3</v>
      </c>
      <c r="E53">
        <f t="shared" si="10"/>
        <v>0.10464231354642314</v>
      </c>
      <c r="F53">
        <f t="shared" si="11"/>
        <v>6.2785388127853885</v>
      </c>
      <c r="G53">
        <f t="shared" si="12"/>
        <v>150.68493150684932</v>
      </c>
      <c r="H53">
        <f t="shared" si="13"/>
        <v>1057.6923076923076</v>
      </c>
      <c r="I53">
        <f t="shared" si="14"/>
        <v>4583.333333333333</v>
      </c>
      <c r="J53" s="2">
        <f t="shared" si="15"/>
        <v>13750</v>
      </c>
      <c r="K53">
        <f t="shared" si="17"/>
        <v>8.2671957671957667E-3</v>
      </c>
      <c r="L53">
        <f t="shared" si="16"/>
        <v>0.49603174603174605</v>
      </c>
      <c r="M53">
        <f t="shared" si="6"/>
        <v>29.761904761904763</v>
      </c>
      <c r="N53">
        <f t="shared" si="7"/>
        <v>238.0952380952381</v>
      </c>
      <c r="O53">
        <f t="shared" si="8"/>
        <v>1145.8333333333333</v>
      </c>
    </row>
    <row r="54" spans="3:15" x14ac:dyDescent="0.25">
      <c r="C54" s="2">
        <v>60000</v>
      </c>
      <c r="D54">
        <f t="shared" si="9"/>
        <v>1.9025875190258751E-3</v>
      </c>
      <c r="E54">
        <f t="shared" si="10"/>
        <v>0.11415525114155251</v>
      </c>
      <c r="F54">
        <f t="shared" si="11"/>
        <v>6.8493150684931505</v>
      </c>
      <c r="G54">
        <f t="shared" si="12"/>
        <v>164.38356164383561</v>
      </c>
      <c r="H54">
        <f t="shared" si="13"/>
        <v>1153.8461538461538</v>
      </c>
      <c r="I54">
        <f t="shared" si="14"/>
        <v>5000</v>
      </c>
      <c r="J54" s="2">
        <f t="shared" si="15"/>
        <v>15000</v>
      </c>
      <c r="K54">
        <f t="shared" si="17"/>
        <v>9.0187590187590181E-3</v>
      </c>
      <c r="L54">
        <f t="shared" si="16"/>
        <v>0.54112554112554112</v>
      </c>
      <c r="M54">
        <f t="shared" si="6"/>
        <v>32.467532467532465</v>
      </c>
      <c r="N54">
        <f t="shared" si="7"/>
        <v>259.74025974025972</v>
      </c>
      <c r="O54">
        <f t="shared" si="8"/>
        <v>1250</v>
      </c>
    </row>
    <row r="55" spans="3:15" x14ac:dyDescent="0.25">
      <c r="C55" s="2">
        <v>65000</v>
      </c>
      <c r="D55">
        <f t="shared" si="9"/>
        <v>2.0611364789446984E-3</v>
      </c>
      <c r="E55">
        <f t="shared" si="10"/>
        <v>0.12366818873668189</v>
      </c>
      <c r="F55">
        <f t="shared" si="11"/>
        <v>7.4200913242009134</v>
      </c>
      <c r="G55">
        <f t="shared" si="12"/>
        <v>178.08219178082192</v>
      </c>
      <c r="H55">
        <f t="shared" si="13"/>
        <v>1250</v>
      </c>
      <c r="I55">
        <f t="shared" si="14"/>
        <v>5416.666666666667</v>
      </c>
      <c r="J55" s="2">
        <f t="shared" si="15"/>
        <v>16250</v>
      </c>
      <c r="K55">
        <f t="shared" si="17"/>
        <v>9.7703222703222695E-3</v>
      </c>
      <c r="L55">
        <f t="shared" si="16"/>
        <v>0.5862193362193362</v>
      </c>
      <c r="M55">
        <f t="shared" si="6"/>
        <v>35.17316017316017</v>
      </c>
      <c r="N55">
        <f t="shared" si="7"/>
        <v>281.38528138528136</v>
      </c>
      <c r="O55">
        <f t="shared" si="8"/>
        <v>1354.1666666666667</v>
      </c>
    </row>
    <row r="56" spans="3:15" x14ac:dyDescent="0.25">
      <c r="C56" s="2">
        <v>70000</v>
      </c>
      <c r="D56">
        <f t="shared" si="9"/>
        <v>2.2196854388635214E-3</v>
      </c>
      <c r="E56">
        <f t="shared" si="10"/>
        <v>0.13318112633181128</v>
      </c>
      <c r="F56">
        <f t="shared" si="11"/>
        <v>7.9908675799086764</v>
      </c>
      <c r="G56">
        <f t="shared" si="12"/>
        <v>191.78082191780823</v>
      </c>
      <c r="H56">
        <f t="shared" si="13"/>
        <v>1346.1538461538462</v>
      </c>
      <c r="I56">
        <f t="shared" si="14"/>
        <v>5833.333333333333</v>
      </c>
      <c r="J56" s="2">
        <f t="shared" si="15"/>
        <v>17500</v>
      </c>
      <c r="K56">
        <f t="shared" si="17"/>
        <v>1.0521885521885523E-2</v>
      </c>
      <c r="L56">
        <f t="shared" si="16"/>
        <v>0.63131313131313127</v>
      </c>
      <c r="M56">
        <f t="shared" si="6"/>
        <v>37.878787878787875</v>
      </c>
      <c r="N56">
        <f t="shared" si="7"/>
        <v>303.030303030303</v>
      </c>
      <c r="O56">
        <f t="shared" si="8"/>
        <v>1458.3333333333333</v>
      </c>
    </row>
    <row r="57" spans="3:15" x14ac:dyDescent="0.25">
      <c r="C57" s="2">
        <v>75000</v>
      </c>
      <c r="D57">
        <f t="shared" si="9"/>
        <v>2.3782343987823443E-3</v>
      </c>
      <c r="E57">
        <f t="shared" si="10"/>
        <v>0.14269406392694065</v>
      </c>
      <c r="F57">
        <f t="shared" si="11"/>
        <v>8.5616438356164384</v>
      </c>
      <c r="G57">
        <f t="shared" si="12"/>
        <v>205.47945205479451</v>
      </c>
      <c r="H57">
        <f t="shared" si="13"/>
        <v>1442.3076923076924</v>
      </c>
      <c r="I57">
        <f t="shared" si="14"/>
        <v>6250</v>
      </c>
      <c r="J57" s="2">
        <f t="shared" si="15"/>
        <v>18750</v>
      </c>
      <c r="K57">
        <f t="shared" si="17"/>
        <v>1.1273448773448774E-2</v>
      </c>
      <c r="L57">
        <f t="shared" si="16"/>
        <v>0.67640692640692646</v>
      </c>
      <c r="M57">
        <f t="shared" si="6"/>
        <v>40.584415584415588</v>
      </c>
      <c r="N57">
        <f t="shared" si="7"/>
        <v>324.6753246753247</v>
      </c>
      <c r="O57">
        <f t="shared" si="8"/>
        <v>1562.5</v>
      </c>
    </row>
    <row r="58" spans="3:15" x14ac:dyDescent="0.25">
      <c r="C58" s="2">
        <v>80000</v>
      </c>
      <c r="D58">
        <f t="shared" si="9"/>
        <v>2.5367833587011672E-3</v>
      </c>
      <c r="E58">
        <f t="shared" si="10"/>
        <v>0.15220700152207003</v>
      </c>
      <c r="F58">
        <f t="shared" si="11"/>
        <v>9.1324200913242013</v>
      </c>
      <c r="G58">
        <f t="shared" si="12"/>
        <v>219.17808219178082</v>
      </c>
      <c r="H58">
        <f t="shared" si="13"/>
        <v>1538.4615384615386</v>
      </c>
      <c r="I58">
        <f t="shared" si="14"/>
        <v>6666.666666666667</v>
      </c>
      <c r="J58" s="2">
        <f t="shared" si="15"/>
        <v>20000</v>
      </c>
      <c r="K58">
        <f t="shared" si="17"/>
        <v>1.2025012025012025E-2</v>
      </c>
      <c r="L58">
        <f t="shared" si="16"/>
        <v>0.72150072150072153</v>
      </c>
      <c r="M58">
        <f t="shared" si="6"/>
        <v>43.290043290043293</v>
      </c>
      <c r="N58">
        <f t="shared" si="7"/>
        <v>346.32034632034635</v>
      </c>
      <c r="O58">
        <f t="shared" si="8"/>
        <v>1666.6666666666667</v>
      </c>
    </row>
    <row r="59" spans="3:15" x14ac:dyDescent="0.25">
      <c r="C59" s="2">
        <v>85000</v>
      </c>
      <c r="D59">
        <f t="shared" si="9"/>
        <v>2.6953323186199901E-3</v>
      </c>
      <c r="E59">
        <f t="shared" si="10"/>
        <v>0.1617199391171994</v>
      </c>
      <c r="F59">
        <f t="shared" si="11"/>
        <v>9.7031963470319642</v>
      </c>
      <c r="G59">
        <f t="shared" si="12"/>
        <v>232.87671232876713</v>
      </c>
      <c r="H59">
        <f t="shared" si="13"/>
        <v>1634.6153846153845</v>
      </c>
      <c r="I59">
        <f t="shared" si="14"/>
        <v>7083.333333333333</v>
      </c>
      <c r="J59" s="2">
        <f t="shared" si="15"/>
        <v>21250</v>
      </c>
      <c r="K59">
        <f t="shared" si="17"/>
        <v>1.2776575276575277E-2</v>
      </c>
      <c r="L59">
        <f t="shared" si="16"/>
        <v>0.76659451659451661</v>
      </c>
      <c r="M59">
        <f t="shared" si="6"/>
        <v>45.995670995670999</v>
      </c>
      <c r="N59">
        <f t="shared" si="7"/>
        <v>367.96536796536799</v>
      </c>
      <c r="O59">
        <f t="shared" si="8"/>
        <v>1770.8333333333333</v>
      </c>
    </row>
    <row r="60" spans="3:15" x14ac:dyDescent="0.25">
      <c r="C60" s="2">
        <v>90000</v>
      </c>
      <c r="D60">
        <f t="shared" si="9"/>
        <v>2.8538812785388131E-3</v>
      </c>
      <c r="E60">
        <f t="shared" si="10"/>
        <v>0.17123287671232879</v>
      </c>
      <c r="F60">
        <f t="shared" si="11"/>
        <v>10.273972602739727</v>
      </c>
      <c r="G60">
        <f t="shared" si="12"/>
        <v>246.57534246575344</v>
      </c>
      <c r="H60">
        <f t="shared" si="13"/>
        <v>1730.7692307692307</v>
      </c>
      <c r="I60">
        <f t="shared" si="14"/>
        <v>7500</v>
      </c>
      <c r="J60" s="2">
        <f t="shared" si="15"/>
        <v>22500</v>
      </c>
      <c r="K60">
        <f t="shared" si="17"/>
        <v>1.3528138528138528E-2</v>
      </c>
      <c r="L60">
        <f t="shared" si="16"/>
        <v>0.81168831168831168</v>
      </c>
      <c r="M60">
        <f t="shared" si="6"/>
        <v>48.701298701298704</v>
      </c>
      <c r="N60">
        <f t="shared" si="7"/>
        <v>389.61038961038963</v>
      </c>
      <c r="O60">
        <f t="shared" si="8"/>
        <v>1875</v>
      </c>
    </row>
    <row r="61" spans="3:15" x14ac:dyDescent="0.25">
      <c r="C61" s="2">
        <v>95000</v>
      </c>
      <c r="D61">
        <f t="shared" si="9"/>
        <v>3.012430238457636E-3</v>
      </c>
      <c r="E61">
        <f t="shared" si="10"/>
        <v>0.18074581430745815</v>
      </c>
      <c r="F61">
        <f t="shared" si="11"/>
        <v>10.844748858447488</v>
      </c>
      <c r="G61">
        <f t="shared" si="12"/>
        <v>260.27397260273972</v>
      </c>
      <c r="H61">
        <f t="shared" si="13"/>
        <v>1826.9230769230769</v>
      </c>
      <c r="I61">
        <f t="shared" si="14"/>
        <v>7916.666666666667</v>
      </c>
      <c r="J61" s="2">
        <f t="shared" si="15"/>
        <v>23750</v>
      </c>
      <c r="K61">
        <f t="shared" si="17"/>
        <v>1.4279701779701779E-2</v>
      </c>
      <c r="L61">
        <f t="shared" si="16"/>
        <v>0.85678210678210676</v>
      </c>
      <c r="M61">
        <f t="shared" si="6"/>
        <v>51.406926406926409</v>
      </c>
      <c r="N61">
        <f t="shared" si="7"/>
        <v>411.25541125541127</v>
      </c>
      <c r="O61">
        <f t="shared" si="8"/>
        <v>1979.1666666666667</v>
      </c>
    </row>
    <row r="62" spans="3:15" x14ac:dyDescent="0.25">
      <c r="C62" s="2">
        <v>100000</v>
      </c>
      <c r="D62">
        <f t="shared" si="9"/>
        <v>3.1709791983764585E-3</v>
      </c>
      <c r="E62">
        <f t="shared" si="10"/>
        <v>0.19025875190258751</v>
      </c>
      <c r="F62">
        <f t="shared" si="11"/>
        <v>11.415525114155251</v>
      </c>
      <c r="G62">
        <f t="shared" si="12"/>
        <v>273.97260273972603</v>
      </c>
      <c r="H62">
        <f>C62/52</f>
        <v>1923.0769230769231</v>
      </c>
      <c r="I62">
        <f t="shared" si="14"/>
        <v>8333.3333333333339</v>
      </c>
      <c r="J62" s="2">
        <f t="shared" si="15"/>
        <v>25000</v>
      </c>
      <c r="K62">
        <f t="shared" si="17"/>
        <v>1.5031265031265031E-2</v>
      </c>
      <c r="L62">
        <f t="shared" si="16"/>
        <v>0.90187590187590183</v>
      </c>
      <c r="M62">
        <f t="shared" si="6"/>
        <v>54.112554112554115</v>
      </c>
      <c r="N62">
        <f t="shared" si="7"/>
        <v>432.90043290043292</v>
      </c>
      <c r="O62">
        <f t="shared" si="8"/>
        <v>2083.3333333333335</v>
      </c>
    </row>
  </sheetData>
  <mergeCells count="17">
    <mergeCell ref="D37:J37"/>
    <mergeCell ref="K37:Q37"/>
    <mergeCell ref="C5:D5"/>
    <mergeCell ref="C6:E6"/>
    <mergeCell ref="C7:E7"/>
    <mergeCell ref="C25:D25"/>
    <mergeCell ref="C27:I27"/>
    <mergeCell ref="J27:N27"/>
    <mergeCell ref="C8:E8"/>
    <mergeCell ref="C1:E1"/>
    <mergeCell ref="C3:E3"/>
    <mergeCell ref="C2:E2"/>
    <mergeCell ref="C16:I16"/>
    <mergeCell ref="J16:N16"/>
    <mergeCell ref="C13:D13"/>
    <mergeCell ref="C12:D12"/>
    <mergeCell ref="C14:D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2021-05-03T14:15:21Z</dcterms:created>
  <dcterms:modified xsi:type="dcterms:W3CDTF">2021-05-14T19:56:51Z</dcterms:modified>
</cp:coreProperties>
</file>