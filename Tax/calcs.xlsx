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riggs\Documents\BWS\Tax\"/>
    </mc:Choice>
  </mc:AlternateContent>
  <xr:revisionPtr revIDLastSave="0" documentId="8_{90D7114A-DB7B-48E2-90F9-E2034414FBDE}" xr6:coauthVersionLast="46" xr6:coauthVersionMax="46" xr10:uidLastSave="{00000000-0000-0000-0000-000000000000}"/>
  <bookViews>
    <workbookView xWindow="4635" yWindow="1755" windowWidth="21600" windowHeight="11385" xr2:uid="{6D0CD4EE-CC56-4F74-B7F8-52D61ECC5DE1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9" i="1" l="1"/>
  <c r="L54" i="1"/>
  <c r="K54" i="1"/>
  <c r="J54" i="1"/>
  <c r="I54" i="1"/>
  <c r="H54" i="1"/>
  <c r="G54" i="1"/>
  <c r="F54" i="1"/>
  <c r="E54" i="1"/>
  <c r="D54" i="1"/>
  <c r="C54" i="1"/>
  <c r="B54" i="1"/>
  <c r="A54" i="1"/>
  <c r="L53" i="1"/>
  <c r="K53" i="1"/>
  <c r="J53" i="1"/>
  <c r="I53" i="1"/>
  <c r="H53" i="1"/>
  <c r="G53" i="1"/>
  <c r="F53" i="1"/>
  <c r="E53" i="1"/>
  <c r="D53" i="1"/>
  <c r="C53" i="1"/>
  <c r="B53" i="1"/>
  <c r="A53" i="1"/>
  <c r="L46" i="1"/>
  <c r="K46" i="1"/>
  <c r="J46" i="1"/>
  <c r="I46" i="1"/>
  <c r="H46" i="1"/>
  <c r="L45" i="1"/>
  <c r="L47" i="1" s="1"/>
  <c r="K45" i="1"/>
  <c r="K47" i="1" s="1"/>
  <c r="J45" i="1"/>
  <c r="I45" i="1"/>
  <c r="H45" i="1"/>
  <c r="G46" i="1"/>
  <c r="G45" i="1"/>
  <c r="F46" i="1"/>
  <c r="F45" i="1"/>
  <c r="E46" i="1"/>
  <c r="E45" i="1"/>
  <c r="D46" i="1"/>
  <c r="D45" i="1"/>
  <c r="C46" i="1"/>
  <c r="C45" i="1"/>
  <c r="C47" i="1" s="1"/>
  <c r="B46" i="1"/>
  <c r="B45" i="1"/>
  <c r="B47" i="1" s="1"/>
  <c r="A46" i="1"/>
  <c r="A45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14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15" i="1"/>
  <c r="I14" i="1"/>
  <c r="D8" i="1"/>
  <c r="D7" i="1"/>
  <c r="D6" i="1"/>
  <c r="F37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14" i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14" i="1"/>
  <c r="H14" i="1" s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14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E47" i="1" l="1"/>
  <c r="F55" i="1"/>
  <c r="H55" i="1"/>
  <c r="J55" i="1"/>
  <c r="B55" i="1"/>
  <c r="E55" i="1"/>
  <c r="L55" i="1"/>
  <c r="K55" i="1"/>
  <c r="I55" i="1"/>
  <c r="G55" i="1"/>
  <c r="D55" i="1"/>
  <c r="C55" i="1"/>
  <c r="A55" i="1"/>
  <c r="F47" i="1"/>
  <c r="D47" i="1"/>
  <c r="G47" i="1"/>
  <c r="A47" i="1"/>
  <c r="H47" i="1"/>
  <c r="I47" i="1"/>
  <c r="J47" i="1"/>
</calcChain>
</file>

<file path=xl/sharedStrings.xml><?xml version="1.0" encoding="utf-8"?>
<sst xmlns="http://schemas.openxmlformats.org/spreadsheetml/2006/main" count="53" uniqueCount="19">
  <si>
    <t>s</t>
  </si>
  <si>
    <t>m</t>
  </si>
  <si>
    <t>h</t>
  </si>
  <si>
    <t>d</t>
  </si>
  <si>
    <t>w</t>
  </si>
  <si>
    <t>q</t>
  </si>
  <si>
    <t>Salary</t>
  </si>
  <si>
    <t>Work hours per day:</t>
  </si>
  <si>
    <t>Work days per year:</t>
  </si>
  <si>
    <t>per time frame (All time)</t>
  </si>
  <si>
    <t>Calculated:</t>
  </si>
  <si>
    <t>Work seconds per year:</t>
  </si>
  <si>
    <t>Work Minutes per year:</t>
  </si>
  <si>
    <t>Work Hours per year:</t>
  </si>
  <si>
    <t>Work weeks per year:</t>
  </si>
  <si>
    <t>Custom salary:</t>
  </si>
  <si>
    <t>Comparing salary:</t>
  </si>
  <si>
    <t>per time frame (At work)</t>
  </si>
  <si>
    <t>Tax rate: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</si>
</sst>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0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1919"/>
        <bgColor indexed="64"/>
      </patternFill>
    </fill>
  </fills>
  <borders count="20">
    <border>
      <left/>
      <right/>
      <top/>
      <bottom/>
      <diagonal/>
    </border>
    <border>
      <left/>
      <right style="thick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/>
    <xf numFmtId="0" fontId="0" fillId="0" borderId="2" xfId="0" applyBorder="1"/>
    <xf numFmtId="0" fontId="0" fillId="0" borderId="0" xfId="0" applyAlignment="1"/>
    <xf numFmtId="0" fontId="0" fillId="0" borderId="0" xfId="0" applyBorder="1"/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5" xfId="0" applyBorder="1" applyAlignment="1"/>
    <xf numFmtId="0" fontId="0" fillId="0" borderId="0" xfId="0" applyAlignment="1">
      <alignment horizontal="left"/>
    </xf>
    <xf numFmtId="164" fontId="0" fillId="2" borderId="4" xfId="0" applyNumberFormat="1" applyFill="1" applyBorder="1"/>
    <xf numFmtId="164" fontId="0" fillId="2" borderId="7" xfId="0" applyNumberFormat="1" applyFill="1" applyBorder="1"/>
    <xf numFmtId="164" fontId="0" fillId="2" borderId="18" xfId="0" applyNumberFormat="1" applyFill="1" applyBorder="1"/>
    <xf numFmtId="164" fontId="0" fillId="2" borderId="2" xfId="0" applyNumberFormat="1" applyFill="1" applyBorder="1"/>
    <xf numFmtId="164" fontId="0" fillId="2" borderId="17" xfId="0" applyNumberFormat="1" applyFill="1" applyBorder="1"/>
    <xf numFmtId="164" fontId="0" fillId="2" borderId="16" xfId="0" applyNumberFormat="1" applyFill="1" applyBorder="1"/>
    <xf numFmtId="164" fontId="0" fillId="2" borderId="11" xfId="0" applyNumberFormat="1" applyFill="1" applyBorder="1"/>
    <xf numFmtId="164" fontId="0" fillId="2" borderId="3" xfId="0" applyNumberFormat="1" applyFill="1" applyBorder="1"/>
    <xf numFmtId="164" fontId="0" fillId="3" borderId="16" xfId="0" applyNumberFormat="1" applyFill="1" applyBorder="1"/>
    <xf numFmtId="164" fontId="0" fillId="3" borderId="7" xfId="0" applyNumberFormat="1" applyFill="1" applyBorder="1"/>
    <xf numFmtId="164" fontId="0" fillId="3" borderId="17" xfId="0" applyNumberFormat="1" applyFill="1" applyBorder="1"/>
    <xf numFmtId="164" fontId="0" fillId="3" borderId="6" xfId="0" applyNumberFormat="1" applyFill="1" applyBorder="1"/>
    <xf numFmtId="164" fontId="0" fillId="3" borderId="18" xfId="0" applyNumberFormat="1" applyFill="1" applyBorder="1"/>
    <xf numFmtId="0" fontId="0" fillId="0" borderId="19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19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05544-29C2-49DF-B6CD-B4679E05436A}">
  <dimension ref="A1:O56"/>
  <sheetViews>
    <sheetView tabSelected="1" topLeftCell="A37" workbookViewId="0">
      <selection activeCell="B25" sqref="B25"/>
    </sheetView>
  </sheetViews>
  <sheetFormatPr defaultRowHeight="15" x14ac:dyDescent="0.25"/>
  <cols>
    <col min="1" max="2" width="12.140625" bestFit="1" customWidth="1"/>
    <col min="3" max="3" width="9.28515625" bestFit="1" customWidth="1"/>
    <col min="4" max="5" width="9.5703125" bestFit="1" customWidth="1"/>
    <col min="6" max="6" width="11.140625" bestFit="1" customWidth="1"/>
    <col min="7" max="7" width="12.5703125" customWidth="1"/>
    <col min="8" max="8" width="9.28515625" bestFit="1" customWidth="1"/>
    <col min="9" max="9" width="12.140625" bestFit="1" customWidth="1"/>
    <col min="10" max="10" width="9.28515625" bestFit="1" customWidth="1"/>
    <col min="11" max="12" width="9.5703125" bestFit="1" customWidth="1"/>
  </cols>
  <sheetData>
    <row r="1" spans="1:15" x14ac:dyDescent="0.25">
      <c r="A1" s="2" t="s">
        <v>7</v>
      </c>
      <c r="B1" s="2"/>
      <c r="C1" s="2"/>
      <c r="D1">
        <v>9</v>
      </c>
    </row>
    <row r="2" spans="1:15" x14ac:dyDescent="0.25">
      <c r="A2" s="2" t="s">
        <v>14</v>
      </c>
      <c r="B2" s="2"/>
      <c r="C2" s="2"/>
      <c r="D2">
        <v>48</v>
      </c>
    </row>
    <row r="3" spans="1:15" x14ac:dyDescent="0.25">
      <c r="A3" s="2" t="s">
        <v>8</v>
      </c>
      <c r="B3" s="2"/>
      <c r="C3" s="2"/>
      <c r="D3">
        <v>231</v>
      </c>
    </row>
    <row r="4" spans="1:15" x14ac:dyDescent="0.25">
      <c r="A4" s="1"/>
      <c r="B4" s="1"/>
    </row>
    <row r="5" spans="1:15" x14ac:dyDescent="0.25">
      <c r="A5" s="2" t="s">
        <v>10</v>
      </c>
      <c r="B5" s="2"/>
    </row>
    <row r="6" spans="1:15" x14ac:dyDescent="0.25">
      <c r="A6" s="2" t="s">
        <v>11</v>
      </c>
      <c r="B6" s="2"/>
      <c r="C6" s="2"/>
      <c r="D6">
        <f>(D3) * D1 * 60 * 60</f>
        <v>7484400</v>
      </c>
    </row>
    <row r="7" spans="1:15" x14ac:dyDescent="0.25">
      <c r="A7" s="2" t="s">
        <v>12</v>
      </c>
      <c r="B7" s="2"/>
      <c r="C7" s="2"/>
      <c r="D7">
        <f>(D3) * D1 * 60</f>
        <v>124740</v>
      </c>
    </row>
    <row r="8" spans="1:15" x14ac:dyDescent="0.25">
      <c r="A8" s="2" t="s">
        <v>13</v>
      </c>
      <c r="B8" s="2"/>
      <c r="C8" s="2"/>
      <c r="D8">
        <f>(D3) * D1</f>
        <v>2079</v>
      </c>
    </row>
    <row r="12" spans="1:15" x14ac:dyDescent="0.25">
      <c r="A12" s="3"/>
      <c r="B12" s="4" t="s">
        <v>9</v>
      </c>
      <c r="C12" s="4"/>
      <c r="D12" s="4"/>
      <c r="E12" s="4"/>
      <c r="F12" s="4"/>
      <c r="G12" s="4"/>
      <c r="H12" s="5"/>
      <c r="I12" s="2" t="s">
        <v>9</v>
      </c>
      <c r="J12" s="2"/>
      <c r="K12" s="2"/>
      <c r="L12" s="2"/>
      <c r="M12" s="2"/>
      <c r="N12" s="2"/>
      <c r="O12" s="2"/>
    </row>
    <row r="13" spans="1:15" ht="15.75" thickBot="1" x14ac:dyDescent="0.3">
      <c r="A13" s="6" t="s">
        <v>6</v>
      </c>
      <c r="B13" s="7" t="s">
        <v>0</v>
      </c>
      <c r="C13" s="7" t="s">
        <v>1</v>
      </c>
      <c r="D13" s="7" t="s">
        <v>2</v>
      </c>
      <c r="E13" s="7" t="s">
        <v>3</v>
      </c>
      <c r="F13" s="7" t="s">
        <v>4</v>
      </c>
      <c r="G13" s="7" t="s">
        <v>1</v>
      </c>
      <c r="H13" s="6" t="s">
        <v>5</v>
      </c>
      <c r="I13" s="7" t="s">
        <v>0</v>
      </c>
      <c r="J13" s="7" t="s">
        <v>1</v>
      </c>
      <c r="K13" s="7" t="s">
        <v>2</v>
      </c>
      <c r="L13" s="7" t="s">
        <v>3</v>
      </c>
      <c r="M13" s="7" t="s">
        <v>4</v>
      </c>
      <c r="N13" s="9"/>
      <c r="O13" s="9"/>
    </row>
    <row r="14" spans="1:15" ht="15.75" thickTop="1" x14ac:dyDescent="0.25">
      <c r="A14" s="3">
        <v>500</v>
      </c>
      <c r="B14">
        <f>((((A14/365)/24)/60)/60)</f>
        <v>1.5854895991882292E-5</v>
      </c>
      <c r="C14">
        <f>(((A14/365)/24)/60)</f>
        <v>9.5129375951293754E-4</v>
      </c>
      <c r="D14">
        <f>((A14/365)/24)</f>
        <v>5.7077625570776253E-2</v>
      </c>
      <c r="E14">
        <f>(A14/365)</f>
        <v>1.3698630136986301</v>
      </c>
      <c r="F14">
        <f>A14/52</f>
        <v>9.615384615384615</v>
      </c>
      <c r="G14">
        <f>A14/12</f>
        <v>41.666666666666664</v>
      </c>
      <c r="H14" s="3">
        <f>G14*3</f>
        <v>125</v>
      </c>
      <c r="I14">
        <f>A14/$D$6</f>
        <v>6.6805622361177915E-5</v>
      </c>
      <c r="J14">
        <f>A14 / $D$7</f>
        <v>4.0083373416706751E-3</v>
      </c>
      <c r="K14">
        <f>A14/$D$8</f>
        <v>0.24050024050024049</v>
      </c>
      <c r="L14">
        <f>A14/$D$3</f>
        <v>2.1645021645021645</v>
      </c>
      <c r="M14">
        <f>A14/$D$2</f>
        <v>10.416666666666666</v>
      </c>
      <c r="O14" s="9"/>
    </row>
    <row r="15" spans="1:15" x14ac:dyDescent="0.25">
      <c r="A15" s="3">
        <v>1000</v>
      </c>
      <c r="B15">
        <f t="shared" ref="B15:B37" si="0">((((A15/365)/24)/60)/60)</f>
        <v>3.1709791983764585E-5</v>
      </c>
      <c r="C15">
        <f t="shared" ref="C15:C37" si="1">(((A15/365)/24)/60)</f>
        <v>1.9025875190258751E-3</v>
      </c>
      <c r="D15">
        <f t="shared" ref="D15:D37" si="2">((A15/365)/24)</f>
        <v>0.11415525114155251</v>
      </c>
      <c r="E15">
        <f t="shared" ref="E15:E37" si="3">(A15/365)</f>
        <v>2.7397260273972601</v>
      </c>
      <c r="F15">
        <f t="shared" ref="F15:F36" si="4">A15/52</f>
        <v>19.23076923076923</v>
      </c>
      <c r="G15">
        <f t="shared" ref="G15:G37" si="5">A15/12</f>
        <v>83.333333333333329</v>
      </c>
      <c r="H15" s="3">
        <f t="shared" ref="H15:H37" si="6">G15*3</f>
        <v>250</v>
      </c>
      <c r="I15">
        <f>A15/$D$6</f>
        <v>1.3361124472235583E-4</v>
      </c>
      <c r="J15">
        <f t="shared" ref="J15:J37" si="7">A15 / $D$7</f>
        <v>8.0166746833413502E-3</v>
      </c>
      <c r="K15">
        <f t="shared" ref="K15:K37" si="8">A15/$D$8</f>
        <v>0.48100048100048098</v>
      </c>
      <c r="L15">
        <f t="shared" ref="L15:L37" si="9">A15/$D$3</f>
        <v>4.329004329004329</v>
      </c>
      <c r="M15">
        <f t="shared" ref="M15:M37" si="10">A15/$D$2</f>
        <v>20.833333333333332</v>
      </c>
    </row>
    <row r="16" spans="1:15" x14ac:dyDescent="0.25">
      <c r="A16" s="3">
        <v>2000</v>
      </c>
      <c r="B16">
        <f t="shared" si="0"/>
        <v>6.3419583967529169E-5</v>
      </c>
      <c r="C16">
        <f t="shared" si="1"/>
        <v>3.8051750380517502E-3</v>
      </c>
      <c r="D16">
        <f t="shared" si="2"/>
        <v>0.22831050228310501</v>
      </c>
      <c r="E16">
        <f t="shared" si="3"/>
        <v>5.4794520547945202</v>
      </c>
      <c r="F16">
        <f t="shared" si="4"/>
        <v>38.46153846153846</v>
      </c>
      <c r="G16">
        <f t="shared" si="5"/>
        <v>166.66666666666666</v>
      </c>
      <c r="H16" s="3">
        <f t="shared" si="6"/>
        <v>500</v>
      </c>
      <c r="I16">
        <f t="shared" ref="I16:I37" si="11">A16/$D$6</f>
        <v>2.6722248944471166E-4</v>
      </c>
      <c r="J16">
        <f t="shared" si="7"/>
        <v>1.60333493666827E-2</v>
      </c>
      <c r="K16">
        <f t="shared" si="8"/>
        <v>0.96200096200096197</v>
      </c>
      <c r="L16">
        <f t="shared" si="9"/>
        <v>8.6580086580086579</v>
      </c>
      <c r="M16">
        <f t="shared" si="10"/>
        <v>41.666666666666664</v>
      </c>
    </row>
    <row r="17" spans="1:13" x14ac:dyDescent="0.25">
      <c r="A17" s="3">
        <v>2500</v>
      </c>
      <c r="B17">
        <f t="shared" si="0"/>
        <v>7.9274479959411475E-5</v>
      </c>
      <c r="C17">
        <f t="shared" si="1"/>
        <v>4.7564687975646886E-3</v>
      </c>
      <c r="D17">
        <f t="shared" si="2"/>
        <v>0.28538812785388129</v>
      </c>
      <c r="E17">
        <f t="shared" si="3"/>
        <v>6.8493150684931505</v>
      </c>
      <c r="F17">
        <f t="shared" si="4"/>
        <v>48.07692307692308</v>
      </c>
      <c r="G17">
        <f t="shared" si="5"/>
        <v>208.33333333333334</v>
      </c>
      <c r="H17" s="3">
        <f t="shared" si="6"/>
        <v>625</v>
      </c>
      <c r="I17">
        <f t="shared" si="11"/>
        <v>3.3402811180588957E-4</v>
      </c>
      <c r="J17">
        <f t="shared" si="7"/>
        <v>2.0041686708353375E-2</v>
      </c>
      <c r="K17">
        <f t="shared" si="8"/>
        <v>1.2025012025012025</v>
      </c>
      <c r="L17">
        <f t="shared" si="9"/>
        <v>10.822510822510823</v>
      </c>
      <c r="M17">
        <f t="shared" si="10"/>
        <v>52.083333333333336</v>
      </c>
    </row>
    <row r="18" spans="1:13" x14ac:dyDescent="0.25">
      <c r="A18" s="3">
        <v>5000</v>
      </c>
      <c r="B18">
        <f t="shared" si="0"/>
        <v>1.5854895991882295E-4</v>
      </c>
      <c r="C18">
        <f t="shared" si="1"/>
        <v>9.5129375951293772E-3</v>
      </c>
      <c r="D18">
        <f t="shared" si="2"/>
        <v>0.57077625570776258</v>
      </c>
      <c r="E18">
        <f t="shared" si="3"/>
        <v>13.698630136986301</v>
      </c>
      <c r="F18">
        <f t="shared" si="4"/>
        <v>96.15384615384616</v>
      </c>
      <c r="G18">
        <f t="shared" si="5"/>
        <v>416.66666666666669</v>
      </c>
      <c r="H18" s="3">
        <f t="shared" si="6"/>
        <v>1250</v>
      </c>
      <c r="I18">
        <f t="shared" si="11"/>
        <v>6.6805622361177915E-4</v>
      </c>
      <c r="J18">
        <f t="shared" si="7"/>
        <v>4.0083373416706751E-2</v>
      </c>
      <c r="K18">
        <f t="shared" si="8"/>
        <v>2.405002405002405</v>
      </c>
      <c r="L18">
        <f t="shared" si="9"/>
        <v>21.645021645021647</v>
      </c>
      <c r="M18">
        <f t="shared" si="10"/>
        <v>104.16666666666667</v>
      </c>
    </row>
    <row r="19" spans="1:13" x14ac:dyDescent="0.25">
      <c r="A19" s="3">
        <v>10000</v>
      </c>
      <c r="B19">
        <f t="shared" si="0"/>
        <v>3.170979198376459E-4</v>
      </c>
      <c r="C19">
        <f t="shared" si="1"/>
        <v>1.9025875190258754E-2</v>
      </c>
      <c r="D19">
        <f t="shared" si="2"/>
        <v>1.1415525114155252</v>
      </c>
      <c r="E19">
        <f t="shared" si="3"/>
        <v>27.397260273972602</v>
      </c>
      <c r="F19">
        <f t="shared" si="4"/>
        <v>192.30769230769232</v>
      </c>
      <c r="G19">
        <f t="shared" si="5"/>
        <v>833.33333333333337</v>
      </c>
      <c r="H19" s="3">
        <f t="shared" si="6"/>
        <v>2500</v>
      </c>
      <c r="I19">
        <f t="shared" si="11"/>
        <v>1.3361124472235583E-3</v>
      </c>
      <c r="J19">
        <f t="shared" si="7"/>
        <v>8.0166746833413502E-2</v>
      </c>
      <c r="K19">
        <f t="shared" si="8"/>
        <v>4.8100048100048101</v>
      </c>
      <c r="L19">
        <f t="shared" si="9"/>
        <v>43.290043290043293</v>
      </c>
      <c r="M19">
        <f t="shared" si="10"/>
        <v>208.33333333333334</v>
      </c>
    </row>
    <row r="20" spans="1:13" x14ac:dyDescent="0.25">
      <c r="A20" s="3">
        <v>15000</v>
      </c>
      <c r="B20">
        <f t="shared" si="0"/>
        <v>4.7564687975646877E-4</v>
      </c>
      <c r="C20">
        <f t="shared" si="1"/>
        <v>2.8538812785388126E-2</v>
      </c>
      <c r="D20">
        <f t="shared" si="2"/>
        <v>1.7123287671232876</v>
      </c>
      <c r="E20">
        <f t="shared" si="3"/>
        <v>41.095890410958901</v>
      </c>
      <c r="F20">
        <f t="shared" si="4"/>
        <v>288.46153846153845</v>
      </c>
      <c r="G20">
        <f t="shared" si="5"/>
        <v>1250</v>
      </c>
      <c r="H20" s="3">
        <f t="shared" si="6"/>
        <v>3750</v>
      </c>
      <c r="I20">
        <f t="shared" si="11"/>
        <v>2.0041686708353375E-3</v>
      </c>
      <c r="J20">
        <f t="shared" si="7"/>
        <v>0.12025012025012025</v>
      </c>
      <c r="K20">
        <f t="shared" si="8"/>
        <v>7.2150072150072146</v>
      </c>
      <c r="L20">
        <f t="shared" si="9"/>
        <v>64.935064935064929</v>
      </c>
      <c r="M20">
        <f t="shared" si="10"/>
        <v>312.5</v>
      </c>
    </row>
    <row r="21" spans="1:13" x14ac:dyDescent="0.25">
      <c r="A21" s="3">
        <v>20000</v>
      </c>
      <c r="B21">
        <f t="shared" si="0"/>
        <v>6.341958396752918E-4</v>
      </c>
      <c r="C21">
        <f t="shared" si="1"/>
        <v>3.8051750380517509E-2</v>
      </c>
      <c r="D21">
        <f t="shared" si="2"/>
        <v>2.2831050228310503</v>
      </c>
      <c r="E21">
        <f t="shared" si="3"/>
        <v>54.794520547945204</v>
      </c>
      <c r="F21">
        <f t="shared" si="4"/>
        <v>384.61538461538464</v>
      </c>
      <c r="G21">
        <f t="shared" si="5"/>
        <v>1666.6666666666667</v>
      </c>
      <c r="H21" s="3">
        <f t="shared" si="6"/>
        <v>5000</v>
      </c>
      <c r="I21">
        <f t="shared" si="11"/>
        <v>2.6722248944471166E-3</v>
      </c>
      <c r="J21">
        <f t="shared" si="7"/>
        <v>0.160333493666827</v>
      </c>
      <c r="K21">
        <f t="shared" si="8"/>
        <v>9.6200096200096201</v>
      </c>
      <c r="L21">
        <f t="shared" si="9"/>
        <v>86.580086580086586</v>
      </c>
      <c r="M21">
        <f t="shared" si="10"/>
        <v>416.66666666666669</v>
      </c>
    </row>
    <row r="22" spans="1:13" x14ac:dyDescent="0.25">
      <c r="A22" s="3">
        <v>25000</v>
      </c>
      <c r="B22">
        <f t="shared" si="0"/>
        <v>7.9274479959411462E-4</v>
      </c>
      <c r="C22">
        <f t="shared" si="1"/>
        <v>4.7564687975646877E-2</v>
      </c>
      <c r="D22">
        <f t="shared" si="2"/>
        <v>2.8538812785388128</v>
      </c>
      <c r="E22">
        <f t="shared" si="3"/>
        <v>68.493150684931507</v>
      </c>
      <c r="F22">
        <f t="shared" si="4"/>
        <v>480.76923076923077</v>
      </c>
      <c r="G22">
        <f t="shared" si="5"/>
        <v>2083.3333333333335</v>
      </c>
      <c r="H22" s="3">
        <f t="shared" si="6"/>
        <v>6250</v>
      </c>
      <c r="I22">
        <f t="shared" si="11"/>
        <v>3.3402811180588956E-3</v>
      </c>
      <c r="J22">
        <f t="shared" si="7"/>
        <v>0.20041686708353376</v>
      </c>
      <c r="K22">
        <f t="shared" si="8"/>
        <v>12.025012025012025</v>
      </c>
      <c r="L22">
        <f t="shared" si="9"/>
        <v>108.22510822510823</v>
      </c>
      <c r="M22">
        <f t="shared" si="10"/>
        <v>520.83333333333337</v>
      </c>
    </row>
    <row r="23" spans="1:13" x14ac:dyDescent="0.25">
      <c r="A23" s="3">
        <v>30000</v>
      </c>
      <c r="B23">
        <f t="shared" si="0"/>
        <v>9.5129375951293754E-4</v>
      </c>
      <c r="C23">
        <f t="shared" si="1"/>
        <v>5.7077625570776253E-2</v>
      </c>
      <c r="D23">
        <f t="shared" si="2"/>
        <v>3.4246575342465753</v>
      </c>
      <c r="E23">
        <f t="shared" si="3"/>
        <v>82.191780821917803</v>
      </c>
      <c r="F23">
        <f t="shared" si="4"/>
        <v>576.92307692307691</v>
      </c>
      <c r="G23">
        <f t="shared" si="5"/>
        <v>2500</v>
      </c>
      <c r="H23" s="3">
        <f t="shared" si="6"/>
        <v>7500</v>
      </c>
      <c r="I23">
        <f t="shared" si="11"/>
        <v>4.0083373416706751E-3</v>
      </c>
      <c r="J23">
        <f t="shared" si="7"/>
        <v>0.24050024050024049</v>
      </c>
      <c r="K23">
        <f t="shared" si="8"/>
        <v>14.430014430014429</v>
      </c>
      <c r="L23">
        <f t="shared" si="9"/>
        <v>129.87012987012986</v>
      </c>
      <c r="M23">
        <f t="shared" si="10"/>
        <v>625</v>
      </c>
    </row>
    <row r="24" spans="1:13" x14ac:dyDescent="0.25">
      <c r="A24" s="3">
        <v>35000</v>
      </c>
      <c r="B24">
        <f t="shared" si="0"/>
        <v>1.1098427194317607E-3</v>
      </c>
      <c r="C24">
        <f t="shared" si="1"/>
        <v>6.6590563165905642E-2</v>
      </c>
      <c r="D24">
        <f t="shared" si="2"/>
        <v>3.9954337899543382</v>
      </c>
      <c r="E24">
        <f t="shared" si="3"/>
        <v>95.890410958904113</v>
      </c>
      <c r="F24">
        <f t="shared" si="4"/>
        <v>673.07692307692309</v>
      </c>
      <c r="G24">
        <f t="shared" si="5"/>
        <v>2916.6666666666665</v>
      </c>
      <c r="H24" s="3">
        <f t="shared" si="6"/>
        <v>8750</v>
      </c>
      <c r="I24">
        <f t="shared" si="11"/>
        <v>4.6763935652824546E-3</v>
      </c>
      <c r="J24">
        <f t="shared" si="7"/>
        <v>0.28058361391694725</v>
      </c>
      <c r="K24">
        <f t="shared" si="8"/>
        <v>16.835016835016834</v>
      </c>
      <c r="L24">
        <f t="shared" si="9"/>
        <v>151.5151515151515</v>
      </c>
      <c r="M24">
        <f t="shared" si="10"/>
        <v>729.16666666666663</v>
      </c>
    </row>
    <row r="25" spans="1:13" x14ac:dyDescent="0.25">
      <c r="A25" s="3">
        <v>40000</v>
      </c>
      <c r="B25">
        <f t="shared" si="0"/>
        <v>1.2683916793505836E-3</v>
      </c>
      <c r="C25">
        <f t="shared" si="1"/>
        <v>7.6103500761035017E-2</v>
      </c>
      <c r="D25">
        <f t="shared" si="2"/>
        <v>4.5662100456621006</v>
      </c>
      <c r="E25">
        <f t="shared" si="3"/>
        <v>109.58904109589041</v>
      </c>
      <c r="F25">
        <f t="shared" si="4"/>
        <v>769.23076923076928</v>
      </c>
      <c r="G25">
        <f t="shared" si="5"/>
        <v>3333.3333333333335</v>
      </c>
      <c r="H25" s="3">
        <f t="shared" si="6"/>
        <v>10000</v>
      </c>
      <c r="I25">
        <f t="shared" si="11"/>
        <v>5.3444497888942332E-3</v>
      </c>
      <c r="J25">
        <f t="shared" si="7"/>
        <v>0.32066698733365401</v>
      </c>
      <c r="K25">
        <f t="shared" si="8"/>
        <v>19.24001924001924</v>
      </c>
      <c r="L25">
        <f t="shared" si="9"/>
        <v>173.16017316017317</v>
      </c>
      <c r="M25">
        <f t="shared" si="10"/>
        <v>833.33333333333337</v>
      </c>
    </row>
    <row r="26" spans="1:13" x14ac:dyDescent="0.25">
      <c r="A26" s="3">
        <v>45000</v>
      </c>
      <c r="B26">
        <f t="shared" si="0"/>
        <v>1.4269406392694065E-3</v>
      </c>
      <c r="C26">
        <f t="shared" si="1"/>
        <v>8.5616438356164393E-2</v>
      </c>
      <c r="D26">
        <f t="shared" si="2"/>
        <v>5.1369863013698636</v>
      </c>
      <c r="E26">
        <f t="shared" si="3"/>
        <v>123.28767123287672</v>
      </c>
      <c r="F26">
        <f t="shared" si="4"/>
        <v>865.38461538461536</v>
      </c>
      <c r="G26">
        <f t="shared" si="5"/>
        <v>3750</v>
      </c>
      <c r="H26" s="3">
        <f t="shared" si="6"/>
        <v>11250</v>
      </c>
      <c r="I26">
        <f t="shared" si="11"/>
        <v>6.0125060125060126E-3</v>
      </c>
      <c r="J26">
        <f t="shared" si="7"/>
        <v>0.36075036075036077</v>
      </c>
      <c r="K26">
        <f t="shared" si="8"/>
        <v>21.645021645021647</v>
      </c>
      <c r="L26">
        <f t="shared" si="9"/>
        <v>194.80519480519482</v>
      </c>
      <c r="M26">
        <f t="shared" si="10"/>
        <v>937.5</v>
      </c>
    </row>
    <row r="27" spans="1:13" x14ac:dyDescent="0.25">
      <c r="A27" s="3">
        <v>50000</v>
      </c>
      <c r="B27">
        <f t="shared" si="0"/>
        <v>1.5854895991882292E-3</v>
      </c>
      <c r="C27">
        <f t="shared" si="1"/>
        <v>9.5129375951293754E-2</v>
      </c>
      <c r="D27">
        <f t="shared" si="2"/>
        <v>5.7077625570776256</v>
      </c>
      <c r="E27">
        <f t="shared" si="3"/>
        <v>136.98630136986301</v>
      </c>
      <c r="F27">
        <f t="shared" si="4"/>
        <v>961.53846153846155</v>
      </c>
      <c r="G27">
        <f t="shared" si="5"/>
        <v>4166.666666666667</v>
      </c>
      <c r="H27" s="3">
        <f t="shared" si="6"/>
        <v>12500</v>
      </c>
      <c r="I27">
        <f t="shared" si="11"/>
        <v>6.6805622361177912E-3</v>
      </c>
      <c r="J27">
        <f t="shared" si="7"/>
        <v>0.40083373416706752</v>
      </c>
      <c r="K27">
        <f t="shared" si="8"/>
        <v>24.050024050024049</v>
      </c>
      <c r="L27">
        <f t="shared" si="9"/>
        <v>216.45021645021646</v>
      </c>
      <c r="M27">
        <f t="shared" si="10"/>
        <v>1041.6666666666667</v>
      </c>
    </row>
    <row r="28" spans="1:13" x14ac:dyDescent="0.25">
      <c r="A28" s="3">
        <v>55000</v>
      </c>
      <c r="B28">
        <f t="shared" si="0"/>
        <v>1.7440385591070524E-3</v>
      </c>
      <c r="C28">
        <f t="shared" si="1"/>
        <v>0.10464231354642314</v>
      </c>
      <c r="D28">
        <f t="shared" si="2"/>
        <v>6.2785388127853885</v>
      </c>
      <c r="E28">
        <f t="shared" si="3"/>
        <v>150.68493150684932</v>
      </c>
      <c r="F28">
        <f t="shared" si="4"/>
        <v>1057.6923076923076</v>
      </c>
      <c r="G28">
        <f t="shared" si="5"/>
        <v>4583.333333333333</v>
      </c>
      <c r="H28" s="3">
        <f t="shared" si="6"/>
        <v>13750</v>
      </c>
      <c r="I28">
        <f t="shared" si="11"/>
        <v>7.3486184597295707E-3</v>
      </c>
      <c r="J28">
        <f t="shared" si="7"/>
        <v>0.44091710758377423</v>
      </c>
      <c r="K28">
        <f t="shared" si="8"/>
        <v>26.455026455026456</v>
      </c>
      <c r="L28">
        <f t="shared" si="9"/>
        <v>238.0952380952381</v>
      </c>
      <c r="M28">
        <f t="shared" si="10"/>
        <v>1145.8333333333333</v>
      </c>
    </row>
    <row r="29" spans="1:13" x14ac:dyDescent="0.25">
      <c r="A29" s="3">
        <v>60000</v>
      </c>
      <c r="B29">
        <f t="shared" si="0"/>
        <v>1.9025875190258751E-3</v>
      </c>
      <c r="C29">
        <f t="shared" si="1"/>
        <v>0.11415525114155251</v>
      </c>
      <c r="D29">
        <f t="shared" si="2"/>
        <v>6.8493150684931505</v>
      </c>
      <c r="E29">
        <f t="shared" si="3"/>
        <v>164.38356164383561</v>
      </c>
      <c r="F29">
        <f t="shared" si="4"/>
        <v>1153.8461538461538</v>
      </c>
      <c r="G29">
        <f t="shared" si="5"/>
        <v>5000</v>
      </c>
      <c r="H29" s="3">
        <f t="shared" si="6"/>
        <v>15000</v>
      </c>
      <c r="I29">
        <f t="shared" si="11"/>
        <v>8.0166746833413502E-3</v>
      </c>
      <c r="J29">
        <f t="shared" si="7"/>
        <v>0.48100048100048098</v>
      </c>
      <c r="K29">
        <f t="shared" si="8"/>
        <v>28.860028860028859</v>
      </c>
      <c r="L29">
        <f t="shared" si="9"/>
        <v>259.74025974025972</v>
      </c>
      <c r="M29">
        <f t="shared" si="10"/>
        <v>1250</v>
      </c>
    </row>
    <row r="30" spans="1:13" x14ac:dyDescent="0.25">
      <c r="A30" s="3">
        <v>65000</v>
      </c>
      <c r="B30">
        <f t="shared" si="0"/>
        <v>2.0611364789446984E-3</v>
      </c>
      <c r="C30">
        <f t="shared" si="1"/>
        <v>0.12366818873668189</v>
      </c>
      <c r="D30">
        <f t="shared" si="2"/>
        <v>7.4200913242009134</v>
      </c>
      <c r="E30">
        <f t="shared" si="3"/>
        <v>178.08219178082192</v>
      </c>
      <c r="F30">
        <f t="shared" si="4"/>
        <v>1250</v>
      </c>
      <c r="G30">
        <f t="shared" si="5"/>
        <v>5416.666666666667</v>
      </c>
      <c r="H30" s="3">
        <f t="shared" si="6"/>
        <v>16250</v>
      </c>
      <c r="I30">
        <f t="shared" si="11"/>
        <v>8.6847309069531288E-3</v>
      </c>
      <c r="J30">
        <f t="shared" si="7"/>
        <v>0.52108385441718774</v>
      </c>
      <c r="K30">
        <f t="shared" si="8"/>
        <v>31.265031265031265</v>
      </c>
      <c r="L30">
        <f t="shared" si="9"/>
        <v>281.38528138528136</v>
      </c>
      <c r="M30">
        <f t="shared" si="10"/>
        <v>1354.1666666666667</v>
      </c>
    </row>
    <row r="31" spans="1:13" x14ac:dyDescent="0.25">
      <c r="A31" s="3">
        <v>70000</v>
      </c>
      <c r="B31">
        <f t="shared" si="0"/>
        <v>2.2196854388635214E-3</v>
      </c>
      <c r="C31">
        <f t="shared" si="1"/>
        <v>0.13318112633181128</v>
      </c>
      <c r="D31">
        <f t="shared" si="2"/>
        <v>7.9908675799086764</v>
      </c>
      <c r="E31">
        <f t="shared" si="3"/>
        <v>191.78082191780823</v>
      </c>
      <c r="F31">
        <f t="shared" si="4"/>
        <v>1346.1538461538462</v>
      </c>
      <c r="G31">
        <f t="shared" si="5"/>
        <v>5833.333333333333</v>
      </c>
      <c r="H31" s="3">
        <f t="shared" si="6"/>
        <v>17500</v>
      </c>
      <c r="I31">
        <f t="shared" si="11"/>
        <v>9.3527871305649091E-3</v>
      </c>
      <c r="J31">
        <f t="shared" si="7"/>
        <v>0.5611672278338945</v>
      </c>
      <c r="K31">
        <f t="shared" si="8"/>
        <v>33.670033670033668</v>
      </c>
      <c r="L31">
        <f t="shared" si="9"/>
        <v>303.030303030303</v>
      </c>
      <c r="M31">
        <f t="shared" si="10"/>
        <v>1458.3333333333333</v>
      </c>
    </row>
    <row r="32" spans="1:13" x14ac:dyDescent="0.25">
      <c r="A32" s="3">
        <v>75000</v>
      </c>
      <c r="B32">
        <f t="shared" si="0"/>
        <v>2.3782343987823443E-3</v>
      </c>
      <c r="C32">
        <f t="shared" si="1"/>
        <v>0.14269406392694065</v>
      </c>
      <c r="D32">
        <f t="shared" si="2"/>
        <v>8.5616438356164384</v>
      </c>
      <c r="E32">
        <f t="shared" si="3"/>
        <v>205.47945205479451</v>
      </c>
      <c r="F32">
        <f t="shared" si="4"/>
        <v>1442.3076923076924</v>
      </c>
      <c r="G32">
        <f t="shared" si="5"/>
        <v>6250</v>
      </c>
      <c r="H32" s="3">
        <f t="shared" si="6"/>
        <v>18750</v>
      </c>
      <c r="I32">
        <f t="shared" si="11"/>
        <v>1.0020843354176688E-2</v>
      </c>
      <c r="J32">
        <f t="shared" si="7"/>
        <v>0.60125060125060126</v>
      </c>
      <c r="K32">
        <f t="shared" si="8"/>
        <v>36.075036075036074</v>
      </c>
      <c r="L32">
        <f t="shared" si="9"/>
        <v>324.6753246753247</v>
      </c>
      <c r="M32">
        <f t="shared" si="10"/>
        <v>1562.5</v>
      </c>
    </row>
    <row r="33" spans="1:14" x14ac:dyDescent="0.25">
      <c r="A33" s="3">
        <v>80000</v>
      </c>
      <c r="B33">
        <f t="shared" si="0"/>
        <v>2.5367833587011672E-3</v>
      </c>
      <c r="C33">
        <f t="shared" si="1"/>
        <v>0.15220700152207003</v>
      </c>
      <c r="D33">
        <f t="shared" si="2"/>
        <v>9.1324200913242013</v>
      </c>
      <c r="E33">
        <f t="shared" si="3"/>
        <v>219.17808219178082</v>
      </c>
      <c r="F33">
        <f t="shared" si="4"/>
        <v>1538.4615384615386</v>
      </c>
      <c r="G33">
        <f t="shared" si="5"/>
        <v>6666.666666666667</v>
      </c>
      <c r="H33" s="3">
        <f t="shared" si="6"/>
        <v>20000</v>
      </c>
      <c r="I33">
        <f t="shared" si="11"/>
        <v>1.0688899577788466E-2</v>
      </c>
      <c r="J33">
        <f t="shared" si="7"/>
        <v>0.64133397466730802</v>
      </c>
      <c r="K33">
        <f t="shared" si="8"/>
        <v>38.48003848003848</v>
      </c>
      <c r="L33">
        <f t="shared" si="9"/>
        <v>346.32034632034635</v>
      </c>
      <c r="M33">
        <f t="shared" si="10"/>
        <v>1666.6666666666667</v>
      </c>
    </row>
    <row r="34" spans="1:14" x14ac:dyDescent="0.25">
      <c r="A34" s="3">
        <v>85000</v>
      </c>
      <c r="B34">
        <f t="shared" si="0"/>
        <v>2.6953323186199901E-3</v>
      </c>
      <c r="C34">
        <f t="shared" si="1"/>
        <v>0.1617199391171994</v>
      </c>
      <c r="D34">
        <f t="shared" si="2"/>
        <v>9.7031963470319642</v>
      </c>
      <c r="E34">
        <f t="shared" si="3"/>
        <v>232.87671232876713</v>
      </c>
      <c r="F34">
        <f t="shared" si="4"/>
        <v>1634.6153846153845</v>
      </c>
      <c r="G34">
        <f t="shared" si="5"/>
        <v>7083.333333333333</v>
      </c>
      <c r="H34" s="3">
        <f t="shared" si="6"/>
        <v>21250</v>
      </c>
      <c r="I34">
        <f t="shared" si="11"/>
        <v>1.1356955801400247E-2</v>
      </c>
      <c r="J34">
        <f t="shared" si="7"/>
        <v>0.68141734808401477</v>
      </c>
      <c r="K34">
        <f t="shared" si="8"/>
        <v>40.885040885040887</v>
      </c>
      <c r="L34">
        <f t="shared" si="9"/>
        <v>367.96536796536799</v>
      </c>
      <c r="M34">
        <f t="shared" si="10"/>
        <v>1770.8333333333333</v>
      </c>
    </row>
    <row r="35" spans="1:14" x14ac:dyDescent="0.25">
      <c r="A35" s="3">
        <v>90000</v>
      </c>
      <c r="B35">
        <f t="shared" si="0"/>
        <v>2.8538812785388131E-3</v>
      </c>
      <c r="C35">
        <f t="shared" si="1"/>
        <v>0.17123287671232879</v>
      </c>
      <c r="D35">
        <f t="shared" si="2"/>
        <v>10.273972602739727</v>
      </c>
      <c r="E35">
        <f t="shared" si="3"/>
        <v>246.57534246575344</v>
      </c>
      <c r="F35">
        <f t="shared" si="4"/>
        <v>1730.7692307692307</v>
      </c>
      <c r="G35">
        <f t="shared" si="5"/>
        <v>7500</v>
      </c>
      <c r="H35" s="3">
        <f t="shared" si="6"/>
        <v>22500</v>
      </c>
      <c r="I35">
        <f t="shared" si="11"/>
        <v>1.2025012025012025E-2</v>
      </c>
      <c r="J35">
        <f t="shared" si="7"/>
        <v>0.72150072150072153</v>
      </c>
      <c r="K35">
        <f t="shared" si="8"/>
        <v>43.290043290043293</v>
      </c>
      <c r="L35">
        <f t="shared" si="9"/>
        <v>389.61038961038963</v>
      </c>
      <c r="M35">
        <f t="shared" si="10"/>
        <v>1875</v>
      </c>
    </row>
    <row r="36" spans="1:14" x14ac:dyDescent="0.25">
      <c r="A36" s="3">
        <v>95000</v>
      </c>
      <c r="B36">
        <f t="shared" si="0"/>
        <v>3.012430238457636E-3</v>
      </c>
      <c r="C36">
        <f t="shared" si="1"/>
        <v>0.18074581430745815</v>
      </c>
      <c r="D36">
        <f t="shared" si="2"/>
        <v>10.844748858447488</v>
      </c>
      <c r="E36">
        <f t="shared" si="3"/>
        <v>260.27397260273972</v>
      </c>
      <c r="F36">
        <f t="shared" si="4"/>
        <v>1826.9230769230769</v>
      </c>
      <c r="G36">
        <f t="shared" si="5"/>
        <v>7916.666666666667</v>
      </c>
      <c r="H36" s="3">
        <f t="shared" si="6"/>
        <v>23750</v>
      </c>
      <c r="I36">
        <f t="shared" si="11"/>
        <v>1.2693068248623804E-2</v>
      </c>
      <c r="J36">
        <f t="shared" si="7"/>
        <v>0.76158409491742829</v>
      </c>
      <c r="K36">
        <f t="shared" si="8"/>
        <v>45.695045695045692</v>
      </c>
      <c r="L36">
        <f t="shared" si="9"/>
        <v>411.25541125541127</v>
      </c>
      <c r="M36">
        <f t="shared" si="10"/>
        <v>1979.1666666666667</v>
      </c>
    </row>
    <row r="37" spans="1:14" x14ac:dyDescent="0.25">
      <c r="A37" s="3">
        <v>100000</v>
      </c>
      <c r="B37">
        <f t="shared" si="0"/>
        <v>3.1709791983764585E-3</v>
      </c>
      <c r="C37">
        <f t="shared" si="1"/>
        <v>0.19025875190258751</v>
      </c>
      <c r="D37">
        <f t="shared" si="2"/>
        <v>11.415525114155251</v>
      </c>
      <c r="E37">
        <f t="shared" si="3"/>
        <v>273.97260273972603</v>
      </c>
      <c r="F37">
        <f>A37/52</f>
        <v>1923.0769230769231</v>
      </c>
      <c r="G37">
        <f t="shared" si="5"/>
        <v>8333.3333333333339</v>
      </c>
      <c r="H37" s="3">
        <f t="shared" si="6"/>
        <v>25000</v>
      </c>
      <c r="I37">
        <f t="shared" si="11"/>
        <v>1.3361124472235582E-2</v>
      </c>
      <c r="J37">
        <f t="shared" si="7"/>
        <v>0.80166746833413505</v>
      </c>
      <c r="K37">
        <f t="shared" si="8"/>
        <v>48.100048100048099</v>
      </c>
      <c r="L37">
        <f t="shared" si="9"/>
        <v>432.90043290043292</v>
      </c>
      <c r="M37">
        <f t="shared" si="10"/>
        <v>2083.3333333333335</v>
      </c>
    </row>
    <row r="40" spans="1:14" x14ac:dyDescent="0.25">
      <c r="A40" s="20" t="s">
        <v>15</v>
      </c>
      <c r="B40" s="20"/>
      <c r="C40">
        <v>40000</v>
      </c>
    </row>
    <row r="41" spans="1:14" x14ac:dyDescent="0.25">
      <c r="A41" s="20" t="s">
        <v>16</v>
      </c>
      <c r="B41" s="20"/>
      <c r="C41">
        <v>42000</v>
      </c>
    </row>
    <row r="42" spans="1:14" ht="15.75" thickBo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</row>
    <row r="43" spans="1:14" ht="15.75" thickTop="1" x14ac:dyDescent="0.25">
      <c r="A43" s="10" t="s">
        <v>9</v>
      </c>
      <c r="B43" s="4"/>
      <c r="C43" s="4"/>
      <c r="D43" s="4"/>
      <c r="E43" s="4"/>
      <c r="F43" s="4"/>
      <c r="G43" s="5"/>
      <c r="H43" s="17" t="s">
        <v>17</v>
      </c>
      <c r="I43" s="18"/>
      <c r="J43" s="18"/>
      <c r="K43" s="18"/>
      <c r="L43" s="34"/>
      <c r="M43" s="19"/>
      <c r="N43" s="8"/>
    </row>
    <row r="44" spans="1:14" ht="15.75" thickBot="1" x14ac:dyDescent="0.3">
      <c r="A44" s="14" t="s">
        <v>0</v>
      </c>
      <c r="B44" s="12" t="s">
        <v>1</v>
      </c>
      <c r="C44" s="15" t="s">
        <v>2</v>
      </c>
      <c r="D44" s="12" t="s">
        <v>3</v>
      </c>
      <c r="E44" s="13" t="s">
        <v>4</v>
      </c>
      <c r="F44" s="13" t="s">
        <v>1</v>
      </c>
      <c r="G44" s="16" t="s">
        <v>5</v>
      </c>
      <c r="H44" s="15" t="s">
        <v>0</v>
      </c>
      <c r="I44" s="13" t="s">
        <v>1</v>
      </c>
      <c r="J44" s="13" t="s">
        <v>2</v>
      </c>
      <c r="K44" s="13" t="s">
        <v>3</v>
      </c>
      <c r="L44" s="16" t="s">
        <v>4</v>
      </c>
      <c r="M44" s="9"/>
      <c r="N44" s="9"/>
    </row>
    <row r="45" spans="1:14" ht="16.5" thickTop="1" thickBot="1" x14ac:dyDescent="0.3">
      <c r="A45" s="21">
        <f>(((($C$40/365)/24)/60)/60)</f>
        <v>1.2683916793505836E-3</v>
      </c>
      <c r="B45" s="22">
        <f>((($C$40/365)/24)/60)</f>
        <v>7.6103500761035017E-2</v>
      </c>
      <c r="C45" s="23">
        <f>(($C$40/365)/24)</f>
        <v>4.5662100456621006</v>
      </c>
      <c r="D45" s="24">
        <f>($C$40/365)</f>
        <v>109.58904109589041</v>
      </c>
      <c r="E45" s="22">
        <f>($C$40/52)</f>
        <v>769.23076923076928</v>
      </c>
      <c r="F45" s="22">
        <f>($C$40/12)</f>
        <v>3333.3333333333335</v>
      </c>
      <c r="G45" s="25">
        <f>($C$40/4)</f>
        <v>10000</v>
      </c>
      <c r="H45" s="26">
        <f>$C$40/$D$6</f>
        <v>5.3444497888942332E-3</v>
      </c>
      <c r="I45" s="27">
        <f>$C$40/$D$7</f>
        <v>0.32066698733365401</v>
      </c>
      <c r="J45" s="24">
        <f>$C$40/$D$8</f>
        <v>19.24001924001924</v>
      </c>
      <c r="K45" s="27">
        <f>$C$40/$D$3</f>
        <v>173.16017316017317</v>
      </c>
      <c r="L45" s="28">
        <f>$C$40/$D$2</f>
        <v>833.33333333333337</v>
      </c>
      <c r="M45" s="11"/>
    </row>
    <row r="46" spans="1:14" ht="16.5" thickTop="1" thickBot="1" x14ac:dyDescent="0.3">
      <c r="A46" s="21">
        <f>(((($C$41/365)/24)/60)/60)</f>
        <v>1.3318112633181126E-3</v>
      </c>
      <c r="B46" s="22">
        <f>((($C$41/365)/24)/60)</f>
        <v>7.9908675799086754E-2</v>
      </c>
      <c r="C46" s="23">
        <f>(($C$41/365)/24)</f>
        <v>4.7945205479452051</v>
      </c>
      <c r="D46" s="24">
        <f>($C$41/365)</f>
        <v>115.06849315068493</v>
      </c>
      <c r="E46" s="22">
        <f>($C$41/52)</f>
        <v>807.69230769230774</v>
      </c>
      <c r="F46" s="22">
        <f>($C$41/12)</f>
        <v>3500</v>
      </c>
      <c r="G46" s="25">
        <f>($C$41/4)</f>
        <v>10500</v>
      </c>
      <c r="H46" s="26">
        <f>$C$41/$D$6</f>
        <v>5.6116722783389446E-3</v>
      </c>
      <c r="I46" s="27">
        <f>$C$41/$D$7</f>
        <v>0.33670033670033672</v>
      </c>
      <c r="J46" s="24">
        <f>$C$41/$D$8</f>
        <v>20.202020202020201</v>
      </c>
      <c r="K46" s="27">
        <f>$C$41/$D$3</f>
        <v>181.81818181818181</v>
      </c>
      <c r="L46" s="28">
        <f>$C$41/$D$2</f>
        <v>875</v>
      </c>
      <c r="M46" s="11"/>
    </row>
    <row r="47" spans="1:14" ht="16.5" thickTop="1" thickBot="1" x14ac:dyDescent="0.3">
      <c r="A47" s="29">
        <f>A46-A45</f>
        <v>6.3419583967528953E-5</v>
      </c>
      <c r="B47" s="30">
        <f>B46-B45</f>
        <v>3.8051750380517363E-3</v>
      </c>
      <c r="C47" s="30">
        <f>C46-C45</f>
        <v>0.22831050228310446</v>
      </c>
      <c r="D47" s="30">
        <f>D46-D45</f>
        <v>5.4794520547945211</v>
      </c>
      <c r="E47" s="30">
        <f>E46-E45</f>
        <v>38.461538461538453</v>
      </c>
      <c r="F47" s="30">
        <f>F46-F45</f>
        <v>166.66666666666652</v>
      </c>
      <c r="G47" s="31">
        <f>G46-G45</f>
        <v>500</v>
      </c>
      <c r="H47" s="29">
        <f>H46-H45</f>
        <v>2.6722248944471144E-4</v>
      </c>
      <c r="I47" s="32">
        <f>I46-I45</f>
        <v>1.6033349366682714E-2</v>
      </c>
      <c r="J47" s="33">
        <f>J46-J45</f>
        <v>0.96200096200096041</v>
      </c>
      <c r="K47" s="33">
        <f>K46-K45</f>
        <v>8.6580086580086402</v>
      </c>
      <c r="L47" s="32">
        <f>L46-L45</f>
        <v>41.666666666666629</v>
      </c>
      <c r="M47" s="11"/>
    </row>
    <row r="48" spans="1:14" ht="15.75" thickTop="1" x14ac:dyDescent="0.25"/>
    <row r="49" spans="1:12" x14ac:dyDescent="0.25">
      <c r="A49" s="20" t="s">
        <v>18</v>
      </c>
      <c r="B49" s="20"/>
      <c r="C49">
        <f>100*(1-0.78299)</f>
        <v>21.701000000000004</v>
      </c>
    </row>
    <row r="50" spans="1:12" ht="15.75" thickBot="1" x14ac:dyDescent="0.3"/>
    <row r="51" spans="1:12" ht="15.75" thickTop="1" x14ac:dyDescent="0.25">
      <c r="A51" s="17" t="s">
        <v>9</v>
      </c>
      <c r="B51" s="18"/>
      <c r="C51" s="18"/>
      <c r="D51" s="18"/>
      <c r="E51" s="18"/>
      <c r="F51" s="18"/>
      <c r="G51" s="34"/>
      <c r="H51" s="17" t="s">
        <v>17</v>
      </c>
      <c r="I51" s="18"/>
      <c r="J51" s="18"/>
      <c r="K51" s="18"/>
      <c r="L51" s="34"/>
    </row>
    <row r="52" spans="1:12" ht="15.75" thickBot="1" x14ac:dyDescent="0.3">
      <c r="A52" s="14" t="s">
        <v>0</v>
      </c>
      <c r="B52" s="12" t="s">
        <v>1</v>
      </c>
      <c r="C52" s="15" t="s">
        <v>2</v>
      </c>
      <c r="D52" s="12" t="s">
        <v>3</v>
      </c>
      <c r="E52" s="13" t="s">
        <v>4</v>
      </c>
      <c r="F52" s="13" t="s">
        <v>1</v>
      </c>
      <c r="G52" s="16" t="s">
        <v>5</v>
      </c>
      <c r="H52" s="15" t="s">
        <v>0</v>
      </c>
      <c r="I52" s="13" t="s">
        <v>1</v>
      </c>
      <c r="J52" s="13" t="s">
        <v>2</v>
      </c>
      <c r="K52" s="13" t="s">
        <v>3</v>
      </c>
      <c r="L52" s="16" t="s">
        <v>4</v>
      </c>
    </row>
    <row r="53" spans="1:12" ht="16.5" thickTop="1" thickBot="1" x14ac:dyDescent="0.3">
      <c r="A53" s="21">
        <f>(((($C$40/365)/24)/60)/60) * (1 - ($C$49 / 100))</f>
        <v>9.9313800101471345E-4</v>
      </c>
      <c r="B53" s="22">
        <f>((($C$40/365)/24)/60) * (1 - ($C$49 / 100))</f>
        <v>5.9588280060882806E-2</v>
      </c>
      <c r="C53" s="23">
        <f>(($C$40/365)/24) * (1 - ($C$49 / 100))</f>
        <v>3.575296803652968</v>
      </c>
      <c r="D53" s="24">
        <f>($C$40/365) * (1 - ($C$49 / 100))</f>
        <v>85.807123287671232</v>
      </c>
      <c r="E53" s="22">
        <f>($C$40/52) * (1 - ($C$49 / 100))</f>
        <v>602.30000000000007</v>
      </c>
      <c r="F53" s="22">
        <f>($C$40/12) * (1 - ($C$49 / 100))</f>
        <v>2609.9666666666667</v>
      </c>
      <c r="G53" s="25">
        <f>($C$40/4) * (1 - ($C$49 / 100))</f>
        <v>7829.9</v>
      </c>
      <c r="H53" s="26">
        <f>$C$40/$D$6 * (1 - ($C$49 / 100))</f>
        <v>4.1846507402062954E-3</v>
      </c>
      <c r="I53" s="27">
        <f>$C$40/$D$7 * (1 - ($C$49 / 100))</f>
        <v>0.25107904441237772</v>
      </c>
      <c r="J53" s="24">
        <f>$C$40/$D$8 * (1 - ($C$49 / 100))</f>
        <v>15.064742664742663</v>
      </c>
      <c r="K53" s="27">
        <f>$C$40/$D$3 * (1 - ($C$49 / 100))</f>
        <v>135.58268398268399</v>
      </c>
      <c r="L53" s="28">
        <f>$C$40/$D$2 * (1 - ($C$49 / 100))</f>
        <v>652.49166666666667</v>
      </c>
    </row>
    <row r="54" spans="1:12" ht="16.5" thickTop="1" thickBot="1" x14ac:dyDescent="0.3">
      <c r="A54" s="21">
        <f>(((($C$41/365)/24)/60)/60) * (1 - ($C$49 / 100))</f>
        <v>1.0427949010654489E-3</v>
      </c>
      <c r="B54" s="22">
        <f>((($C$41/365)/24)/60) * (1 - ($C$49 / 100))</f>
        <v>6.256769406392694E-2</v>
      </c>
      <c r="C54" s="23">
        <f>(($C$41/365)/24) * (1 - ($C$49 / 100))</f>
        <v>3.754061643835616</v>
      </c>
      <c r="D54" s="24">
        <f>($C$41/365) * (1 - ($C$49 / 100))</f>
        <v>90.097479452054785</v>
      </c>
      <c r="E54" s="22">
        <f>($C$41/52) * (1 - ($C$49 / 100))</f>
        <v>632.41499999999996</v>
      </c>
      <c r="F54" s="22">
        <f>($C$41/12) * (1 - ($C$49 / 100))</f>
        <v>2740.4649999999997</v>
      </c>
      <c r="G54" s="25">
        <f>($C$41/4) * (1 - ($C$49 / 100))</f>
        <v>8221.3950000000004</v>
      </c>
      <c r="H54" s="26">
        <f>$C$41/$D$6 * (1 - ($C$49 / 100))</f>
        <v>4.3938832772166102E-3</v>
      </c>
      <c r="I54" s="27">
        <f>$C$41/$D$7 * (1 - ($C$49 / 100))</f>
        <v>0.26363299663299666</v>
      </c>
      <c r="J54" s="24">
        <f>$C$41/$D$8 * (1 - ($C$49 / 100))</f>
        <v>15.817979797979795</v>
      </c>
      <c r="K54" s="27">
        <f>$C$41/$D$3 * (1 - ($C$49 / 100))</f>
        <v>142.36181818181817</v>
      </c>
      <c r="L54" s="28">
        <f>$C$41/$D$2 * (1 - ($C$49 / 100))</f>
        <v>685.11624999999992</v>
      </c>
    </row>
    <row r="55" spans="1:12" ht="16.5" thickTop="1" thickBot="1" x14ac:dyDescent="0.3">
      <c r="A55" s="29">
        <f>A54-A53</f>
        <v>4.9656900050735467E-5</v>
      </c>
      <c r="B55" s="30">
        <f>B54-B53</f>
        <v>2.9794140030441341E-3</v>
      </c>
      <c r="C55" s="30">
        <f>C54-C53</f>
        <v>0.17876484018264804</v>
      </c>
      <c r="D55" s="30">
        <f>D54-D53</f>
        <v>4.2903561643835531</v>
      </c>
      <c r="E55" s="30">
        <f>E54-E53</f>
        <v>30.114999999999895</v>
      </c>
      <c r="F55" s="30">
        <f>F54-F53</f>
        <v>130.49833333333299</v>
      </c>
      <c r="G55" s="31">
        <f>G54-G53</f>
        <v>391.4950000000008</v>
      </c>
      <c r="H55" s="29">
        <f>H54-H53</f>
        <v>2.0923253701031486E-4</v>
      </c>
      <c r="I55" s="32">
        <f>I54-I53</f>
        <v>1.2553952220618947E-2</v>
      </c>
      <c r="J55" s="33">
        <f>J54-J53</f>
        <v>0.75323713323713193</v>
      </c>
      <c r="K55" s="33">
        <f>K54-K53</f>
        <v>6.7791341991341767</v>
      </c>
      <c r="L55" s="32">
        <f>L54-L53</f>
        <v>32.624583333333248</v>
      </c>
    </row>
    <row r="56" spans="1:12" ht="15.75" thickTop="1" x14ac:dyDescent="0.25"/>
  </sheetData>
  <mergeCells count="16">
    <mergeCell ref="A49:B49"/>
    <mergeCell ref="A51:G51"/>
    <mergeCell ref="H51:L51"/>
    <mergeCell ref="A8:C8"/>
    <mergeCell ref="A1:C1"/>
    <mergeCell ref="A3:C3"/>
    <mergeCell ref="A2:C2"/>
    <mergeCell ref="A43:G43"/>
    <mergeCell ref="H43:L43"/>
    <mergeCell ref="A41:B41"/>
    <mergeCell ref="A40:B40"/>
    <mergeCell ref="B12:H12"/>
    <mergeCell ref="I12:O12"/>
    <mergeCell ref="A5:B5"/>
    <mergeCell ref="A6:C6"/>
    <mergeCell ref="A7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2021-05-03T14:15:21Z</dcterms:created>
  <dcterms:modified xsi:type="dcterms:W3CDTF">2021-05-03T19:56:36Z</dcterms:modified>
</cp:coreProperties>
</file>