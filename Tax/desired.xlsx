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BWS\BWS\Tax\"/>
    </mc:Choice>
  </mc:AlternateContent>
  <xr:revisionPtr revIDLastSave="0" documentId="13_ncr:1_{EAF37B3F-BBF8-4518-820B-080B859B874A}" xr6:coauthVersionLast="47" xr6:coauthVersionMax="47" xr10:uidLastSave="{00000000-0000-0000-0000-000000000000}"/>
  <bookViews>
    <workbookView xWindow="-120" yWindow="-120" windowWidth="20730" windowHeight="11310" xr2:uid="{39C2C261-4E78-40BC-A68E-8E6918FB4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1" i="1" l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8" i="1"/>
  <c r="V6" i="1"/>
  <c r="V2" i="1"/>
  <c r="O7" i="1"/>
  <c r="O8" i="1" s="1"/>
  <c r="O3" i="1"/>
  <c r="P3" i="1" s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C4" i="1"/>
  <c r="C3" i="1"/>
  <c r="C2" i="1"/>
  <c r="B4" i="1"/>
  <c r="B3" i="1"/>
  <c r="B2" i="1"/>
  <c r="J7" i="1"/>
  <c r="J8" i="1" s="1"/>
  <c r="X8" i="1" s="1"/>
  <c r="X6" i="1"/>
  <c r="X2" i="1"/>
  <c r="W2" i="1"/>
  <c r="U6" i="1"/>
  <c r="U2" i="1"/>
  <c r="T2" i="1"/>
  <c r="J3" i="1"/>
  <c r="J4" i="1" s="1"/>
  <c r="J5" i="1" s="1"/>
  <c r="X5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T21" i="1" s="1"/>
  <c r="V3" i="1" l="1"/>
  <c r="O4" i="1"/>
  <c r="V7" i="1"/>
  <c r="P7" i="1"/>
  <c r="R7" i="1" s="1"/>
  <c r="R3" i="1"/>
  <c r="Q3" i="1"/>
  <c r="O9" i="1"/>
  <c r="V9" i="1" s="1"/>
  <c r="P8" i="1"/>
  <c r="O5" i="1"/>
  <c r="V5" i="1" s="1"/>
  <c r="K5" i="1"/>
  <c r="F3" i="1"/>
  <c r="K6" i="1"/>
  <c r="F6" i="1"/>
  <c r="K7" i="1"/>
  <c r="F11" i="1"/>
  <c r="K8" i="1"/>
  <c r="K3" i="1"/>
  <c r="K4" i="1"/>
  <c r="F5" i="1"/>
  <c r="F9" i="1"/>
  <c r="F17" i="1"/>
  <c r="F15" i="1"/>
  <c r="F21" i="1"/>
  <c r="F4" i="1"/>
  <c r="F10" i="1"/>
  <c r="F16" i="1"/>
  <c r="F12" i="1"/>
  <c r="F18" i="1"/>
  <c r="F7" i="1"/>
  <c r="F13" i="1"/>
  <c r="F19" i="1"/>
  <c r="F8" i="1"/>
  <c r="F14" i="1"/>
  <c r="F20" i="1"/>
  <c r="U4" i="1"/>
  <c r="X7" i="1"/>
  <c r="U7" i="1"/>
  <c r="T6" i="1"/>
  <c r="W9" i="1"/>
  <c r="W21" i="1"/>
  <c r="T13" i="1"/>
  <c r="W16" i="1"/>
  <c r="J9" i="1"/>
  <c r="K9" i="1" s="1"/>
  <c r="T8" i="1"/>
  <c r="T14" i="1"/>
  <c r="T20" i="1"/>
  <c r="W5" i="1"/>
  <c r="W11" i="1"/>
  <c r="W17" i="1"/>
  <c r="X3" i="1"/>
  <c r="T18" i="1"/>
  <c r="W3" i="1"/>
  <c r="T7" i="1"/>
  <c r="U5" i="1"/>
  <c r="W10" i="1"/>
  <c r="T3" i="1"/>
  <c r="T15" i="1"/>
  <c r="W6" i="1"/>
  <c r="W18" i="1"/>
  <c r="T4" i="1"/>
  <c r="T10" i="1"/>
  <c r="T16" i="1"/>
  <c r="U8" i="1"/>
  <c r="W7" i="1"/>
  <c r="W13" i="1"/>
  <c r="W19" i="1"/>
  <c r="T12" i="1"/>
  <c r="W15" i="1"/>
  <c r="T19" i="1"/>
  <c r="W4" i="1"/>
  <c r="T9" i="1"/>
  <c r="W12" i="1"/>
  <c r="X4" i="1"/>
  <c r="T5" i="1"/>
  <c r="T11" i="1"/>
  <c r="T17" i="1"/>
  <c r="U3" i="1"/>
  <c r="W8" i="1"/>
  <c r="W14" i="1"/>
  <c r="W20" i="1"/>
  <c r="P4" i="1" l="1"/>
  <c r="V4" i="1"/>
  <c r="Q7" i="1"/>
  <c r="P9" i="1"/>
  <c r="O10" i="1"/>
  <c r="V10" i="1" s="1"/>
  <c r="P6" i="1"/>
  <c r="P5" i="1"/>
  <c r="R8" i="1"/>
  <c r="Q8" i="1"/>
  <c r="M8" i="1"/>
  <c r="L8" i="1"/>
  <c r="M9" i="1"/>
  <c r="L9" i="1"/>
  <c r="M6" i="1"/>
  <c r="L6" i="1"/>
  <c r="M5" i="1"/>
  <c r="L5" i="1"/>
  <c r="M7" i="1"/>
  <c r="L7" i="1"/>
  <c r="M4" i="1"/>
  <c r="L4" i="1"/>
  <c r="M3" i="1"/>
  <c r="L3" i="1"/>
  <c r="G14" i="1"/>
  <c r="H14" i="1"/>
  <c r="G12" i="1"/>
  <c r="H12" i="1"/>
  <c r="G17" i="1"/>
  <c r="H17" i="1"/>
  <c r="G11" i="1"/>
  <c r="H11" i="1"/>
  <c r="G16" i="1"/>
  <c r="H16" i="1"/>
  <c r="G19" i="1"/>
  <c r="H19" i="1"/>
  <c r="G10" i="1"/>
  <c r="H10" i="1"/>
  <c r="G5" i="1"/>
  <c r="H5" i="1"/>
  <c r="G6" i="1"/>
  <c r="H6" i="1"/>
  <c r="G13" i="1"/>
  <c r="H13" i="1"/>
  <c r="G4" i="1"/>
  <c r="H4" i="1"/>
  <c r="G8" i="1"/>
  <c r="H8" i="1"/>
  <c r="G7" i="1"/>
  <c r="H7" i="1"/>
  <c r="G9" i="1"/>
  <c r="H9" i="1"/>
  <c r="G21" i="1"/>
  <c r="H21" i="1"/>
  <c r="G3" i="1"/>
  <c r="H3" i="1"/>
  <c r="G20" i="1"/>
  <c r="H20" i="1"/>
  <c r="G18" i="1"/>
  <c r="H18" i="1"/>
  <c r="G15" i="1"/>
  <c r="H15" i="1"/>
  <c r="U9" i="1"/>
  <c r="J10" i="1"/>
  <c r="K10" i="1" s="1"/>
  <c r="X9" i="1"/>
  <c r="R4" i="1" l="1"/>
  <c r="Q4" i="1"/>
  <c r="O11" i="1"/>
  <c r="V11" i="1" s="1"/>
  <c r="P10" i="1"/>
  <c r="Q9" i="1"/>
  <c r="R9" i="1"/>
  <c r="R5" i="1"/>
  <c r="Q5" i="1"/>
  <c r="Q6" i="1"/>
  <c r="R6" i="1"/>
  <c r="M10" i="1"/>
  <c r="L10" i="1"/>
  <c r="U10" i="1"/>
  <c r="J11" i="1"/>
  <c r="K11" i="1" s="1"/>
  <c r="X10" i="1"/>
  <c r="O12" i="1" l="1"/>
  <c r="V12" i="1" s="1"/>
  <c r="P11" i="1"/>
  <c r="R10" i="1"/>
  <c r="Q10" i="1"/>
  <c r="M11" i="1"/>
  <c r="L11" i="1"/>
  <c r="U11" i="1"/>
  <c r="J12" i="1"/>
  <c r="K12" i="1" s="1"/>
  <c r="X11" i="1"/>
  <c r="R11" i="1" l="1"/>
  <c r="Q11" i="1"/>
  <c r="P12" i="1"/>
  <c r="O13" i="1"/>
  <c r="V13" i="1" s="1"/>
  <c r="M12" i="1"/>
  <c r="L12" i="1"/>
  <c r="J13" i="1"/>
  <c r="K13" i="1" s="1"/>
  <c r="X12" i="1"/>
  <c r="U12" i="1"/>
  <c r="Q12" i="1" l="1"/>
  <c r="R12" i="1"/>
  <c r="O14" i="1"/>
  <c r="V14" i="1" s="1"/>
  <c r="P13" i="1"/>
  <c r="M13" i="1"/>
  <c r="L13" i="1"/>
  <c r="X13" i="1"/>
  <c r="J14" i="1"/>
  <c r="K14" i="1" s="1"/>
  <c r="U13" i="1"/>
  <c r="R13" i="1" l="1"/>
  <c r="Q13" i="1"/>
  <c r="O15" i="1"/>
  <c r="V15" i="1" s="1"/>
  <c r="P14" i="1"/>
  <c r="M14" i="1"/>
  <c r="L14" i="1"/>
  <c r="U14" i="1"/>
  <c r="X14" i="1"/>
  <c r="J15" i="1"/>
  <c r="K15" i="1" s="1"/>
  <c r="R14" i="1" l="1"/>
  <c r="Q14" i="1"/>
  <c r="P15" i="1"/>
  <c r="O16" i="1"/>
  <c r="V16" i="1" s="1"/>
  <c r="M15" i="1"/>
  <c r="L15" i="1"/>
  <c r="X15" i="1"/>
  <c r="J16" i="1"/>
  <c r="K16" i="1" s="1"/>
  <c r="U15" i="1"/>
  <c r="O17" i="1" l="1"/>
  <c r="V17" i="1" s="1"/>
  <c r="P16" i="1"/>
  <c r="Q15" i="1"/>
  <c r="R15" i="1"/>
  <c r="M16" i="1"/>
  <c r="L16" i="1"/>
  <c r="U16" i="1"/>
  <c r="J17" i="1"/>
  <c r="K17" i="1" s="1"/>
  <c r="X16" i="1"/>
  <c r="O18" i="1" l="1"/>
  <c r="V18" i="1" s="1"/>
  <c r="P17" i="1"/>
  <c r="R16" i="1"/>
  <c r="Q16" i="1"/>
  <c r="M17" i="1"/>
  <c r="L17" i="1"/>
  <c r="J18" i="1"/>
  <c r="K18" i="1" s="1"/>
  <c r="U17" i="1"/>
  <c r="X17" i="1"/>
  <c r="R17" i="1" l="1"/>
  <c r="Q17" i="1"/>
  <c r="P18" i="1"/>
  <c r="O19" i="1"/>
  <c r="V19" i="1" s="1"/>
  <c r="M18" i="1"/>
  <c r="L18" i="1"/>
  <c r="U18" i="1"/>
  <c r="J19" i="1"/>
  <c r="K19" i="1" s="1"/>
  <c r="X18" i="1"/>
  <c r="O20" i="1" l="1"/>
  <c r="V20" i="1" s="1"/>
  <c r="P19" i="1"/>
  <c r="Q18" i="1"/>
  <c r="R18" i="1"/>
  <c r="M19" i="1"/>
  <c r="L19" i="1"/>
  <c r="U19" i="1"/>
  <c r="X19" i="1"/>
  <c r="J20" i="1"/>
  <c r="K20" i="1" s="1"/>
  <c r="R19" i="1" l="1"/>
  <c r="Q19" i="1"/>
  <c r="O21" i="1"/>
  <c r="P20" i="1"/>
  <c r="M20" i="1"/>
  <c r="L20" i="1"/>
  <c r="U20" i="1"/>
  <c r="J21" i="1"/>
  <c r="K21" i="1" s="1"/>
  <c r="X20" i="1"/>
  <c r="P21" i="1" l="1"/>
  <c r="V21" i="1"/>
  <c r="R20" i="1"/>
  <c r="Q20" i="1"/>
  <c r="Q21" i="1"/>
  <c r="R21" i="1"/>
  <c r="M21" i="1"/>
  <c r="L21" i="1"/>
  <c r="X21" i="1"/>
  <c r="U21" i="1"/>
</calcChain>
</file>

<file path=xl/sharedStrings.xml><?xml version="1.0" encoding="utf-8"?>
<sst xmlns="http://schemas.openxmlformats.org/spreadsheetml/2006/main" count="22" uniqueCount="20">
  <si>
    <t>MW /H</t>
  </si>
  <si>
    <t>MW 2000H</t>
  </si>
  <si>
    <t>MW2250H</t>
  </si>
  <si>
    <t>W</t>
  </si>
  <si>
    <t xml:space="preserve"> </t>
  </si>
  <si>
    <t>D (y2y)</t>
  </si>
  <si>
    <t>D $/H 2000</t>
  </si>
  <si>
    <t>D $/H 2250</t>
  </si>
  <si>
    <t>W $/H 2000</t>
  </si>
  <si>
    <t>W $/H 2250</t>
  </si>
  <si>
    <t>DW1</t>
  </si>
  <si>
    <t>D1 (y2y)</t>
  </si>
  <si>
    <t>D1 $/H 2000</t>
  </si>
  <si>
    <t>D1 $/H 2250</t>
  </si>
  <si>
    <t>D1W $/H 2000</t>
  </si>
  <si>
    <t>D1W $/H 2250</t>
  </si>
  <si>
    <t>DW2</t>
  </si>
  <si>
    <t>D2 (y2y)</t>
  </si>
  <si>
    <t>D2 $/H 2000</t>
  </si>
  <si>
    <t>D2 $/H 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</si>
</sst>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Sheet1!$E$2:$E$21</c:f>
              <c:numCache>
                <c:formatCode>General</c:formatCode>
                <c:ptCount val="20"/>
                <c:pt idx="0">
                  <c:v>40000</c:v>
                </c:pt>
                <c:pt idx="1">
                  <c:v>44100</c:v>
                </c:pt>
                <c:pt idx="2">
                  <c:v>46305</c:v>
                </c:pt>
                <c:pt idx="3">
                  <c:v>48620.25</c:v>
                </c:pt>
                <c:pt idx="4">
                  <c:v>51051.262500000004</c:v>
                </c:pt>
                <c:pt idx="5">
                  <c:v>53603.825625000005</c:v>
                </c:pt>
                <c:pt idx="6">
                  <c:v>56284.016906250006</c:v>
                </c:pt>
                <c:pt idx="7">
                  <c:v>59098.217751562508</c:v>
                </c:pt>
                <c:pt idx="8">
                  <c:v>62053.128639140639</c:v>
                </c:pt>
                <c:pt idx="9">
                  <c:v>65155.785071097671</c:v>
                </c:pt>
                <c:pt idx="10">
                  <c:v>68413.574324652553</c:v>
                </c:pt>
                <c:pt idx="11">
                  <c:v>71834.253040885189</c:v>
                </c:pt>
                <c:pt idx="12">
                  <c:v>75425.965692929458</c:v>
                </c:pt>
                <c:pt idx="13">
                  <c:v>79197.263977575931</c:v>
                </c:pt>
                <c:pt idx="14">
                  <c:v>83157.127176454727</c:v>
                </c:pt>
                <c:pt idx="15">
                  <c:v>87314.983535277468</c:v>
                </c:pt>
                <c:pt idx="16">
                  <c:v>91680.732712041339</c:v>
                </c:pt>
                <c:pt idx="17">
                  <c:v>96264.769347643407</c:v>
                </c:pt>
                <c:pt idx="18">
                  <c:v>101078.00781502559</c:v>
                </c:pt>
                <c:pt idx="19">
                  <c:v>106131.90820577687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F-4719-A956-54E231072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513200"/>
        <c:axId val="543513560"/>
      </c:scatterChart>
      <c:valAx>
        <c:axId val="54351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3560"/>
        <c:crosses val="autoZero"/>
        <c:crossBetween val="midCat"/>
      </c:valAx>
      <c:valAx>
        <c:axId val="54351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Sheet1!$J$2:$J$21</c:f>
              <c:numCache>
                <c:formatCode>General</c:formatCode>
                <c:ptCount val="20"/>
                <c:pt idx="0">
                  <c:v>40000</c:v>
                </c:pt>
                <c:pt idx="1">
                  <c:v>44100</c:v>
                </c:pt>
                <c:pt idx="2">
                  <c:v>46305</c:v>
                </c:pt>
                <c:pt idx="3">
                  <c:v>48620.25</c:v>
                </c:pt>
                <c:pt idx="4">
                  <c:v>55000</c:v>
                </c:pt>
                <c:pt idx="5">
                  <c:v>57750</c:v>
                </c:pt>
                <c:pt idx="6">
                  <c:v>60637.5</c:v>
                </c:pt>
                <c:pt idx="7">
                  <c:v>63669.375</c:v>
                </c:pt>
                <c:pt idx="8">
                  <c:v>66852.84375</c:v>
                </c:pt>
                <c:pt idx="9">
                  <c:v>70195.485937500009</c:v>
                </c:pt>
                <c:pt idx="10">
                  <c:v>73705.260234375019</c:v>
                </c:pt>
                <c:pt idx="11">
                  <c:v>77390.52324609377</c:v>
                </c:pt>
                <c:pt idx="12">
                  <c:v>81260.049408398467</c:v>
                </c:pt>
                <c:pt idx="13">
                  <c:v>85323.051878818398</c:v>
                </c:pt>
                <c:pt idx="14">
                  <c:v>89589.204472759317</c:v>
                </c:pt>
                <c:pt idx="15">
                  <c:v>94068.664696397289</c:v>
                </c:pt>
                <c:pt idx="16">
                  <c:v>98772.097931217155</c:v>
                </c:pt>
                <c:pt idx="17">
                  <c:v>103710.70282777802</c:v>
                </c:pt>
                <c:pt idx="18">
                  <c:v>108896.23796916692</c:v>
                </c:pt>
                <c:pt idx="19">
                  <c:v>114341.04986762528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B-4C79-B0BB-4473EC3BA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859616"/>
        <c:axId val="466859976"/>
      </c:scatterChart>
      <c:valAx>
        <c:axId val="46685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59976"/>
        <c:crosses val="autoZero"/>
        <c:crossBetween val="midCat"/>
      </c:valAx>
      <c:valAx>
        <c:axId val="46685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5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514350</xdr:colOff>
      <xdr:row>4</xdr:row>
      <xdr:rowOff>38100</xdr:rowOff>
    </xdr:from>
    <xdr:to>
      <xdr:col>33</xdr:col>
      <xdr:colOff>209550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FD7AB-E8A2-F9A1-04C9-E65787717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514350</xdr:colOff>
      <xdr:row>19</xdr:row>
      <xdr:rowOff>28575</xdr:rowOff>
    </xdr:from>
    <xdr:to>
      <xdr:col>33</xdr:col>
      <xdr:colOff>209550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B39A27-0B77-528E-78D0-268DB0219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F131-233C-4D9F-97A2-CB40C9C90ABC}">
  <dimension ref="A1:Y21"/>
  <sheetViews>
    <sheetView tabSelected="1" topLeftCell="J4" workbookViewId="0">
      <selection activeCell="Y20" sqref="Y20"/>
    </sheetView>
  </sheetViews>
  <sheetFormatPr defaultRowHeight="15" x14ac:dyDescent="0.25"/>
  <cols>
    <col min="1" max="1" width="7.140625" bestFit="1" customWidth="1"/>
    <col min="2" max="2" width="10.28515625" bestFit="1" customWidth="1"/>
    <col min="3" max="3" width="9.85546875" bestFit="1" customWidth="1"/>
    <col min="5" max="5" width="10" customWidth="1"/>
    <col min="6" max="6" width="9" customWidth="1"/>
    <col min="7" max="8" width="10.28515625" customWidth="1"/>
    <col min="9" max="9" width="12" customWidth="1"/>
    <col min="10" max="10" width="10.5703125" customWidth="1"/>
    <col min="12" max="12" width="11.140625" customWidth="1"/>
    <col min="13" max="18" width="11.42578125" customWidth="1"/>
    <col min="20" max="20" width="11.5703125" customWidth="1"/>
    <col min="21" max="22" width="13.5703125" customWidth="1"/>
    <col min="23" max="23" width="11.5703125" customWidth="1"/>
    <col min="24" max="25" width="12" customWidth="1"/>
  </cols>
  <sheetData>
    <row r="1" spans="1:25" x14ac:dyDescent="0.25">
      <c r="A1" t="s">
        <v>0</v>
      </c>
      <c r="B1" t="s">
        <v>1</v>
      </c>
      <c r="C1" t="s">
        <v>2</v>
      </c>
      <c r="E1" t="s">
        <v>3</v>
      </c>
      <c r="F1" t="s">
        <v>5</v>
      </c>
      <c r="G1" t="s">
        <v>6</v>
      </c>
      <c r="H1" t="s">
        <v>7</v>
      </c>
      <c r="I1" t="s">
        <v>4</v>
      </c>
      <c r="J1" t="s">
        <v>10</v>
      </c>
      <c r="K1" t="s">
        <v>11</v>
      </c>
      <c r="L1" t="s">
        <v>12</v>
      </c>
      <c r="M1" t="s">
        <v>13</v>
      </c>
      <c r="O1" t="s">
        <v>16</v>
      </c>
      <c r="P1" t="s">
        <v>17</v>
      </c>
      <c r="Q1" t="s">
        <v>18</v>
      </c>
      <c r="R1" t="s">
        <v>19</v>
      </c>
      <c r="T1" t="s">
        <v>8</v>
      </c>
      <c r="U1" t="s">
        <v>14</v>
      </c>
      <c r="V1" t="s">
        <v>14</v>
      </c>
      <c r="W1" t="s">
        <v>9</v>
      </c>
      <c r="X1" t="s">
        <v>15</v>
      </c>
      <c r="Y1" t="s">
        <v>15</v>
      </c>
    </row>
    <row r="2" spans="1:25" x14ac:dyDescent="0.25">
      <c r="A2">
        <v>11.75</v>
      </c>
      <c r="B2">
        <f>A2*2000</f>
        <v>23500</v>
      </c>
      <c r="C2">
        <f>A2*2250</f>
        <v>26437.5</v>
      </c>
      <c r="E2">
        <v>40000</v>
      </c>
      <c r="J2">
        <v>40000</v>
      </c>
      <c r="O2">
        <v>40000</v>
      </c>
      <c r="T2">
        <f>E2/2000</f>
        <v>20</v>
      </c>
      <c r="U2">
        <f>J2/2000</f>
        <v>20</v>
      </c>
      <c r="V2">
        <f>O2/2000</f>
        <v>20</v>
      </c>
      <c r="W2">
        <f>E2/2250</f>
        <v>17.777777777777779</v>
      </c>
      <c r="X2">
        <f>J2/2250</f>
        <v>17.777777777777779</v>
      </c>
      <c r="Y2">
        <f>O2/2250</f>
        <v>17.777777777777779</v>
      </c>
    </row>
    <row r="3" spans="1:25" x14ac:dyDescent="0.25">
      <c r="A3">
        <v>13.75</v>
      </c>
      <c r="B3">
        <f>A3*2000</f>
        <v>27500</v>
      </c>
      <c r="C3">
        <f>A3*2250</f>
        <v>30937.5</v>
      </c>
      <c r="E3">
        <f>(E2*1.05)*1.05</f>
        <v>44100</v>
      </c>
      <c r="F3">
        <f>E3-E2</f>
        <v>4100</v>
      </c>
      <c r="G3">
        <f>F3/2000</f>
        <v>2.0499999999999998</v>
      </c>
      <c r="H3">
        <f>F3/2250</f>
        <v>1.8222222222222222</v>
      </c>
      <c r="J3">
        <f>(J2*1.05)*1.05</f>
        <v>44100</v>
      </c>
      <c r="K3">
        <f>J3-J2</f>
        <v>4100</v>
      </c>
      <c r="L3">
        <f>K3/2000</f>
        <v>2.0499999999999998</v>
      </c>
      <c r="M3">
        <f>K3/2250</f>
        <v>1.8222222222222222</v>
      </c>
      <c r="O3">
        <f>(O2*1.05)*1.05</f>
        <v>44100</v>
      </c>
      <c r="P3">
        <f>O3-O2</f>
        <v>4100</v>
      </c>
      <c r="Q3">
        <f>P3/2000</f>
        <v>2.0499999999999998</v>
      </c>
      <c r="R3">
        <f>P3/2250</f>
        <v>1.8222222222222222</v>
      </c>
      <c r="T3">
        <f>E3/2000</f>
        <v>22.05</v>
      </c>
      <c r="U3">
        <f>J3/2000</f>
        <v>22.05</v>
      </c>
      <c r="V3">
        <f>O3/2000</f>
        <v>22.05</v>
      </c>
      <c r="W3">
        <f>E3/2250</f>
        <v>19.600000000000001</v>
      </c>
      <c r="X3">
        <f>J3/2250</f>
        <v>19.600000000000001</v>
      </c>
      <c r="Y3">
        <f>O3/2250</f>
        <v>19.600000000000001</v>
      </c>
    </row>
    <row r="4" spans="1:25" x14ac:dyDescent="0.25">
      <c r="A4">
        <v>14.75</v>
      </c>
      <c r="B4">
        <f>A4*2000</f>
        <v>29500</v>
      </c>
      <c r="C4">
        <f>A4*2250</f>
        <v>33187.5</v>
      </c>
      <c r="E4">
        <f>E3*1.05</f>
        <v>46305</v>
      </c>
      <c r="F4">
        <f>E4-E3</f>
        <v>2205</v>
      </c>
      <c r="G4">
        <f>F4/2000</f>
        <v>1.1025</v>
      </c>
      <c r="H4">
        <f>F4/2250</f>
        <v>0.98</v>
      </c>
      <c r="J4">
        <f>J3*1.05</f>
        <v>46305</v>
      </c>
      <c r="K4">
        <f>J4-J3</f>
        <v>2205</v>
      </c>
      <c r="L4">
        <f>K4/2000</f>
        <v>1.1025</v>
      </c>
      <c r="M4">
        <f>K4/2250</f>
        <v>0.98</v>
      </c>
      <c r="O4">
        <f>O3*1.05</f>
        <v>46305</v>
      </c>
      <c r="P4">
        <f>O4-O3</f>
        <v>2205</v>
      </c>
      <c r="Q4">
        <f>P4/2000</f>
        <v>1.1025</v>
      </c>
      <c r="R4">
        <f>P4/2250</f>
        <v>0.98</v>
      </c>
      <c r="T4">
        <f>E4/2000</f>
        <v>23.1525</v>
      </c>
      <c r="U4">
        <f>J4/2000</f>
        <v>23.1525</v>
      </c>
      <c r="V4">
        <f>O4/2000</f>
        <v>23.1525</v>
      </c>
      <c r="W4">
        <f>E4/2250</f>
        <v>20.58</v>
      </c>
      <c r="X4">
        <f>J4/2250</f>
        <v>20.58</v>
      </c>
      <c r="Y4">
        <f>O4/2250</f>
        <v>20.58</v>
      </c>
    </row>
    <row r="5" spans="1:25" x14ac:dyDescent="0.25">
      <c r="A5">
        <v>14.75</v>
      </c>
      <c r="B5">
        <f>A5*2000</f>
        <v>29500</v>
      </c>
      <c r="C5">
        <f>A5*2250</f>
        <v>33187.5</v>
      </c>
      <c r="E5">
        <f>E4*1.05</f>
        <v>48620.25</v>
      </c>
      <c r="F5">
        <f>E5-E4</f>
        <v>2315.25</v>
      </c>
      <c r="G5">
        <f>F5/2000</f>
        <v>1.1576249999999999</v>
      </c>
      <c r="H5">
        <f>F5/2250</f>
        <v>1.0289999999999999</v>
      </c>
      <c r="J5">
        <f>J4*1.05</f>
        <v>48620.25</v>
      </c>
      <c r="K5">
        <f>J5-J4</f>
        <v>2315.25</v>
      </c>
      <c r="L5">
        <f>K5/2000</f>
        <v>1.1576249999999999</v>
      </c>
      <c r="M5">
        <f>K5/2250</f>
        <v>1.0289999999999999</v>
      </c>
      <c r="O5">
        <f>O4*1.05</f>
        <v>48620.25</v>
      </c>
      <c r="P5">
        <f>O5-O4</f>
        <v>2315.25</v>
      </c>
      <c r="Q5">
        <f>P5/2000</f>
        <v>1.1576249999999999</v>
      </c>
      <c r="R5">
        <f>P5/2250</f>
        <v>1.0289999999999999</v>
      </c>
      <c r="T5">
        <f>E5/2000</f>
        <v>24.310124999999999</v>
      </c>
      <c r="U5">
        <f>J5/2000</f>
        <v>24.310124999999999</v>
      </c>
      <c r="V5">
        <f>O5/2000</f>
        <v>24.310124999999999</v>
      </c>
      <c r="W5">
        <f>E5/2250</f>
        <v>21.609000000000002</v>
      </c>
      <c r="X5">
        <f>J5/2250</f>
        <v>21.609000000000002</v>
      </c>
      <c r="Y5">
        <f>O5/2250</f>
        <v>21.609000000000002</v>
      </c>
    </row>
    <row r="6" spans="1:25" x14ac:dyDescent="0.25">
      <c r="A6">
        <v>15.75</v>
      </c>
      <c r="B6">
        <f>A6*2000</f>
        <v>31500</v>
      </c>
      <c r="C6">
        <f>A6*2250</f>
        <v>35437.5</v>
      </c>
      <c r="E6">
        <f>E5*1.05</f>
        <v>51051.262500000004</v>
      </c>
      <c r="F6">
        <f>E6-E5</f>
        <v>2431.0125000000044</v>
      </c>
      <c r="G6">
        <f>F6/2000</f>
        <v>1.2155062500000022</v>
      </c>
      <c r="H6">
        <f>F6/2250</f>
        <v>1.0804500000000019</v>
      </c>
      <c r="J6">
        <v>55000</v>
      </c>
      <c r="K6">
        <f>J6-J5</f>
        <v>6379.75</v>
      </c>
      <c r="L6">
        <f>K6/2000</f>
        <v>3.1898749999999998</v>
      </c>
      <c r="M6">
        <f>K6/2250</f>
        <v>2.8354444444444447</v>
      </c>
      <c r="O6">
        <v>60000</v>
      </c>
      <c r="P6">
        <f>O6-O5</f>
        <v>11379.75</v>
      </c>
      <c r="Q6">
        <f>P6/2000</f>
        <v>5.6898749999999998</v>
      </c>
      <c r="R6">
        <f>P6/2250</f>
        <v>5.057666666666667</v>
      </c>
      <c r="T6">
        <f>E6/2000</f>
        <v>25.525631250000004</v>
      </c>
      <c r="U6">
        <f>J6/2000</f>
        <v>27.5</v>
      </c>
      <c r="V6">
        <f>O6/2000</f>
        <v>30</v>
      </c>
      <c r="W6">
        <f>E6/2250</f>
        <v>22.689450000000001</v>
      </c>
      <c r="X6">
        <f>J6/2250</f>
        <v>24.444444444444443</v>
      </c>
      <c r="Y6">
        <f>O6/2250</f>
        <v>26.666666666666668</v>
      </c>
    </row>
    <row r="7" spans="1:25" x14ac:dyDescent="0.25">
      <c r="A7">
        <v>15.75</v>
      </c>
      <c r="B7">
        <f>A7*2000</f>
        <v>31500</v>
      </c>
      <c r="C7">
        <f>A7*2250</f>
        <v>35437.5</v>
      </c>
      <c r="E7">
        <f>E6*1.05</f>
        <v>53603.825625000005</v>
      </c>
      <c r="F7">
        <f>E7-E6</f>
        <v>2552.5631250000006</v>
      </c>
      <c r="G7">
        <f>F7/2000</f>
        <v>1.2762815625000004</v>
      </c>
      <c r="H7">
        <f>F7/2250</f>
        <v>1.1344725000000002</v>
      </c>
      <c r="J7">
        <f>J6*1.05</f>
        <v>57750</v>
      </c>
      <c r="K7">
        <f>J7-J6</f>
        <v>2750</v>
      </c>
      <c r="L7">
        <f>K7/2000</f>
        <v>1.375</v>
      </c>
      <c r="M7">
        <f>K7/2250</f>
        <v>1.2222222222222223</v>
      </c>
      <c r="O7">
        <f>O6*1.05</f>
        <v>63000</v>
      </c>
      <c r="P7">
        <f>O7-O6</f>
        <v>3000</v>
      </c>
      <c r="Q7">
        <f>P7/2000</f>
        <v>1.5</v>
      </c>
      <c r="R7">
        <f>P7/2250</f>
        <v>1.3333333333333333</v>
      </c>
      <c r="T7">
        <f>E7/2000</f>
        <v>26.801912812500003</v>
      </c>
      <c r="U7">
        <f>J7/2000</f>
        <v>28.875</v>
      </c>
      <c r="V7">
        <f>O7/2000</f>
        <v>31.5</v>
      </c>
      <c r="W7">
        <f>E7/2250</f>
        <v>23.823922500000002</v>
      </c>
      <c r="X7">
        <f>J7/2250</f>
        <v>25.666666666666668</v>
      </c>
      <c r="Y7">
        <f>O7/2250</f>
        <v>28</v>
      </c>
    </row>
    <row r="8" spans="1:25" x14ac:dyDescent="0.25">
      <c r="A8">
        <v>16.75</v>
      </c>
      <c r="B8">
        <f>A8*2000</f>
        <v>33500</v>
      </c>
      <c r="C8">
        <f>A8*2250</f>
        <v>37687.5</v>
      </c>
      <c r="E8">
        <f>E7*1.05</f>
        <v>56284.016906250006</v>
      </c>
      <c r="F8">
        <f>E8-E7</f>
        <v>2680.1912812500013</v>
      </c>
      <c r="G8">
        <f>F8/2000</f>
        <v>1.3400956406250006</v>
      </c>
      <c r="H8">
        <f>F8/2250</f>
        <v>1.1911961250000005</v>
      </c>
      <c r="J8">
        <f>J7*1.05</f>
        <v>60637.5</v>
      </c>
      <c r="K8">
        <f>J8-J7</f>
        <v>2887.5</v>
      </c>
      <c r="L8">
        <f>K8/2000</f>
        <v>1.4437500000000001</v>
      </c>
      <c r="M8">
        <f>K8/2250</f>
        <v>1.2833333333333334</v>
      </c>
      <c r="O8">
        <f>O7*1.05</f>
        <v>66150</v>
      </c>
      <c r="P8">
        <f>O8-O7</f>
        <v>3150</v>
      </c>
      <c r="Q8">
        <f>P8/2000</f>
        <v>1.575</v>
      </c>
      <c r="R8">
        <f>P8/2250</f>
        <v>1.4</v>
      </c>
      <c r="T8">
        <f>E8/2000</f>
        <v>28.142008453125005</v>
      </c>
      <c r="U8">
        <f>J8/2000</f>
        <v>30.318750000000001</v>
      </c>
      <c r="V8">
        <f>O8/2000</f>
        <v>33.075000000000003</v>
      </c>
      <c r="W8">
        <f>E8/2250</f>
        <v>25.015118625000003</v>
      </c>
      <c r="X8">
        <f>J8/2250</f>
        <v>26.95</v>
      </c>
      <c r="Y8">
        <f>O8/2250</f>
        <v>29.4</v>
      </c>
    </row>
    <row r="9" spans="1:25" x14ac:dyDescent="0.25">
      <c r="A9">
        <v>16.75</v>
      </c>
      <c r="B9">
        <f>A9*2000</f>
        <v>33500</v>
      </c>
      <c r="C9">
        <f>A9*2250</f>
        <v>37687.5</v>
      </c>
      <c r="E9">
        <f>E8*1.05</f>
        <v>59098.217751562508</v>
      </c>
      <c r="F9">
        <f>E9-E8</f>
        <v>2814.2008453125018</v>
      </c>
      <c r="G9">
        <f>F9/2000</f>
        <v>1.4071004226562509</v>
      </c>
      <c r="H9">
        <f>F9/2250</f>
        <v>1.2507559312500007</v>
      </c>
      <c r="J9">
        <f>J8*1.05</f>
        <v>63669.375</v>
      </c>
      <c r="K9">
        <f>J9-J8</f>
        <v>3031.875</v>
      </c>
      <c r="L9">
        <f>K9/2000</f>
        <v>1.5159374999999999</v>
      </c>
      <c r="M9">
        <f>K9/2250</f>
        <v>1.3474999999999999</v>
      </c>
      <c r="O9">
        <f>O8*1.05</f>
        <v>69457.5</v>
      </c>
      <c r="P9">
        <f>O9-O8</f>
        <v>3307.5</v>
      </c>
      <c r="Q9">
        <f>P9/2000</f>
        <v>1.6537500000000001</v>
      </c>
      <c r="R9">
        <f>P9/2250</f>
        <v>1.47</v>
      </c>
      <c r="T9">
        <f>E9/2000</f>
        <v>29.549108875781254</v>
      </c>
      <c r="U9">
        <f>J9/2000</f>
        <v>31.834687500000001</v>
      </c>
      <c r="V9">
        <f>O9/2000</f>
        <v>34.728749999999998</v>
      </c>
      <c r="W9">
        <f>E9/2250</f>
        <v>26.265874556250004</v>
      </c>
      <c r="X9">
        <f>J9/2250</f>
        <v>28.297499999999999</v>
      </c>
      <c r="Y9">
        <f>O9/2250</f>
        <v>30.87</v>
      </c>
    </row>
    <row r="10" spans="1:25" x14ac:dyDescent="0.25">
      <c r="A10">
        <v>17.75</v>
      </c>
      <c r="B10">
        <f>A10*2000</f>
        <v>35500</v>
      </c>
      <c r="C10">
        <f>A10*2250</f>
        <v>39937.5</v>
      </c>
      <c r="E10">
        <f>E9*1.05</f>
        <v>62053.128639140639</v>
      </c>
      <c r="F10">
        <f>E10-E9</f>
        <v>2954.9108875781312</v>
      </c>
      <c r="G10">
        <f>F10/2000</f>
        <v>1.4774554437890657</v>
      </c>
      <c r="H10">
        <f>F10/2250</f>
        <v>1.3132937278125028</v>
      </c>
      <c r="J10">
        <f>J9*1.05</f>
        <v>66852.84375</v>
      </c>
      <c r="K10">
        <f>J10-J9</f>
        <v>3183.46875</v>
      </c>
      <c r="L10">
        <f>K10/2000</f>
        <v>1.5917343749999999</v>
      </c>
      <c r="M10">
        <f>K10/2250</f>
        <v>1.4148750000000001</v>
      </c>
      <c r="O10">
        <f>O9*1.05</f>
        <v>72930.375</v>
      </c>
      <c r="P10">
        <f>O10-O9</f>
        <v>3472.875</v>
      </c>
      <c r="Q10">
        <f>P10/2000</f>
        <v>1.7364375000000001</v>
      </c>
      <c r="R10">
        <f>P10/2250</f>
        <v>1.5435000000000001</v>
      </c>
      <c r="T10">
        <f>E10/2000</f>
        <v>31.026564319570319</v>
      </c>
      <c r="U10">
        <f>J10/2000</f>
        <v>33.426421875000003</v>
      </c>
      <c r="V10">
        <f>O10/2000</f>
        <v>36.465187499999999</v>
      </c>
      <c r="W10">
        <f>E10/2250</f>
        <v>27.579168284062508</v>
      </c>
      <c r="X10">
        <f>J10/2250</f>
        <v>29.712375000000002</v>
      </c>
      <c r="Y10">
        <f>O10/2250</f>
        <v>32.413499999999999</v>
      </c>
    </row>
    <row r="11" spans="1:25" x14ac:dyDescent="0.25">
      <c r="A11">
        <v>17.75</v>
      </c>
      <c r="B11">
        <f>A11*2000</f>
        <v>35500</v>
      </c>
      <c r="C11">
        <f>A11*2250</f>
        <v>39937.5</v>
      </c>
      <c r="E11">
        <f>E10*1.05</f>
        <v>65155.785071097671</v>
      </c>
      <c r="F11">
        <f>E11-E10</f>
        <v>3102.6564319570316</v>
      </c>
      <c r="G11">
        <f>F11/2000</f>
        <v>1.5513282159785158</v>
      </c>
      <c r="H11">
        <f>F11/2250</f>
        <v>1.3789584142031253</v>
      </c>
      <c r="J11">
        <f>J10*1.05</f>
        <v>70195.485937500009</v>
      </c>
      <c r="K11">
        <f>J11-J10</f>
        <v>3342.6421875000087</v>
      </c>
      <c r="L11">
        <f>K11/2000</f>
        <v>1.6713210937500043</v>
      </c>
      <c r="M11">
        <f>K11/2250</f>
        <v>1.485618750000004</v>
      </c>
      <c r="O11">
        <f>O10*1.05</f>
        <v>76576.893750000003</v>
      </c>
      <c r="P11">
        <f>O11-O10</f>
        <v>3646.5187500000029</v>
      </c>
      <c r="Q11">
        <f>P11/2000</f>
        <v>1.8232593750000015</v>
      </c>
      <c r="R11">
        <f>P11/2250</f>
        <v>1.6206750000000012</v>
      </c>
      <c r="T11">
        <f>E11/2000</f>
        <v>32.577892535548834</v>
      </c>
      <c r="U11">
        <f>J11/2000</f>
        <v>35.097742968750005</v>
      </c>
      <c r="V11">
        <f>O11/2000</f>
        <v>38.288446874999998</v>
      </c>
      <c r="W11">
        <f>E11/2250</f>
        <v>28.95812669826563</v>
      </c>
      <c r="X11">
        <f>J11/2250</f>
        <v>31.197993750000006</v>
      </c>
      <c r="Y11">
        <f>O11/2250</f>
        <v>34.034175000000005</v>
      </c>
    </row>
    <row r="12" spans="1:25" x14ac:dyDescent="0.25">
      <c r="A12">
        <v>18.75</v>
      </c>
      <c r="B12">
        <f>A12*2000</f>
        <v>37500</v>
      </c>
      <c r="C12">
        <f>A12*2250</f>
        <v>42187.5</v>
      </c>
      <c r="E12">
        <f>E11*1.05</f>
        <v>68413.574324652553</v>
      </c>
      <c r="F12">
        <f>E12-E11</f>
        <v>3257.7892535548817</v>
      </c>
      <c r="G12">
        <f>F12/2000</f>
        <v>1.6288946267774409</v>
      </c>
      <c r="H12">
        <f>F12/2250</f>
        <v>1.4479063349132808</v>
      </c>
      <c r="J12">
        <f>J11*1.05</f>
        <v>73705.260234375019</v>
      </c>
      <c r="K12">
        <f>J12-J11</f>
        <v>3509.7742968750099</v>
      </c>
      <c r="L12">
        <f>K12/2000</f>
        <v>1.754887148437505</v>
      </c>
      <c r="M12">
        <f>K12/2250</f>
        <v>1.5598996875000044</v>
      </c>
      <c r="O12">
        <f>O11*1.05</f>
        <v>80405.738437500011</v>
      </c>
      <c r="P12">
        <f>O12-O11</f>
        <v>3828.8446875000081</v>
      </c>
      <c r="Q12">
        <f>P12/2000</f>
        <v>1.9144223437500041</v>
      </c>
      <c r="R12">
        <f>P12/2250</f>
        <v>1.7017087500000037</v>
      </c>
      <c r="T12">
        <f>E12/2000</f>
        <v>34.206787162326279</v>
      </c>
      <c r="U12">
        <f>J12/2000</f>
        <v>36.852630117187509</v>
      </c>
      <c r="V12">
        <f>O12/2000</f>
        <v>40.202869218750003</v>
      </c>
      <c r="W12">
        <f>E12/2250</f>
        <v>30.406033033178911</v>
      </c>
      <c r="X12">
        <f>J12/2250</f>
        <v>32.757893437500009</v>
      </c>
      <c r="Y12">
        <f>O12/2250</f>
        <v>35.735883750000006</v>
      </c>
    </row>
    <row r="13" spans="1:25" x14ac:dyDescent="0.25">
      <c r="A13">
        <v>18.75</v>
      </c>
      <c r="B13">
        <f>A13*2000</f>
        <v>37500</v>
      </c>
      <c r="C13">
        <f>A13*2250</f>
        <v>42187.5</v>
      </c>
      <c r="E13">
        <f>E12*1.05</f>
        <v>71834.253040885189</v>
      </c>
      <c r="F13">
        <f>E13-E12</f>
        <v>3420.6787162326364</v>
      </c>
      <c r="G13">
        <f>F13/2000</f>
        <v>1.7103393581163182</v>
      </c>
      <c r="H13">
        <f>F13/2250</f>
        <v>1.5203016516589496</v>
      </c>
      <c r="J13">
        <f>J12*1.05</f>
        <v>77390.52324609377</v>
      </c>
      <c r="K13">
        <f>J13-J12</f>
        <v>3685.2630117187509</v>
      </c>
      <c r="L13">
        <f>K13/2000</f>
        <v>1.8426315058593754</v>
      </c>
      <c r="M13">
        <f>K13/2250</f>
        <v>1.6378946718750005</v>
      </c>
      <c r="O13">
        <f>O12*1.05</f>
        <v>84426.025359375009</v>
      </c>
      <c r="P13">
        <f>O13-O12</f>
        <v>4020.2869218749984</v>
      </c>
      <c r="Q13">
        <f>P13/2000</f>
        <v>2.0101434609374991</v>
      </c>
      <c r="R13">
        <f>P13/2250</f>
        <v>1.7867941874999993</v>
      </c>
      <c r="T13">
        <f>E13/2000</f>
        <v>35.917126520442594</v>
      </c>
      <c r="U13">
        <f>J13/2000</f>
        <v>38.695261623046882</v>
      </c>
      <c r="V13">
        <f>O13/2000</f>
        <v>42.213012679687502</v>
      </c>
      <c r="W13">
        <f>E13/2250</f>
        <v>31.926334684837862</v>
      </c>
      <c r="X13">
        <f>J13/2250</f>
        <v>34.395788109375012</v>
      </c>
      <c r="Y13">
        <f>O13/2250</f>
        <v>37.522677937500006</v>
      </c>
    </row>
    <row r="14" spans="1:25" x14ac:dyDescent="0.25">
      <c r="A14">
        <v>19.75</v>
      </c>
      <c r="B14">
        <f>A14*2000</f>
        <v>39500</v>
      </c>
      <c r="C14">
        <f>A14*2250</f>
        <v>44437.5</v>
      </c>
      <c r="E14">
        <f>E13*1.05</f>
        <v>75425.965692929458</v>
      </c>
      <c r="F14">
        <f>E14-E13</f>
        <v>3591.7126520442689</v>
      </c>
      <c r="G14">
        <f>F14/2000</f>
        <v>1.7958563260221345</v>
      </c>
      <c r="H14">
        <f>F14/2250</f>
        <v>1.5963167342418974</v>
      </c>
      <c r="J14">
        <f>J13*1.05</f>
        <v>81260.049408398467</v>
      </c>
      <c r="K14">
        <f>J14-J13</f>
        <v>3869.5261623046972</v>
      </c>
      <c r="L14">
        <f>K14/2000</f>
        <v>1.9347630811523486</v>
      </c>
      <c r="M14">
        <f>K14/2250</f>
        <v>1.7197894054687544</v>
      </c>
      <c r="O14">
        <f>O13*1.05</f>
        <v>88647.326627343762</v>
      </c>
      <c r="P14">
        <f>O14-O13</f>
        <v>4221.3012679687527</v>
      </c>
      <c r="Q14">
        <f>P14/2000</f>
        <v>2.1106506339843762</v>
      </c>
      <c r="R14">
        <f>P14/2250</f>
        <v>1.8761338968750012</v>
      </c>
      <c r="T14">
        <f>E14/2000</f>
        <v>37.712982846464726</v>
      </c>
      <c r="U14">
        <f>J14/2000</f>
        <v>40.630024704199236</v>
      </c>
      <c r="V14">
        <f>O14/2000</f>
        <v>44.323663313671879</v>
      </c>
      <c r="W14">
        <f>E14/2250</f>
        <v>33.522651419079757</v>
      </c>
      <c r="X14">
        <f>J14/2250</f>
        <v>36.115577514843764</v>
      </c>
      <c r="Y14">
        <f>O14/2250</f>
        <v>39.398811834375003</v>
      </c>
    </row>
    <row r="15" spans="1:25" x14ac:dyDescent="0.25">
      <c r="A15">
        <v>19.75</v>
      </c>
      <c r="B15">
        <f>A15*2000</f>
        <v>39500</v>
      </c>
      <c r="C15">
        <f>A15*2250</f>
        <v>44437.5</v>
      </c>
      <c r="E15">
        <f>E14*1.05</f>
        <v>79197.263977575931</v>
      </c>
      <c r="F15">
        <f>E15-E14</f>
        <v>3771.2982846464729</v>
      </c>
      <c r="G15">
        <f>F15/2000</f>
        <v>1.8856491423232364</v>
      </c>
      <c r="H15">
        <f>F15/2250</f>
        <v>1.676132570953988</v>
      </c>
      <c r="J15">
        <f>J14*1.05</f>
        <v>85323.051878818398</v>
      </c>
      <c r="K15">
        <f>J15-J14</f>
        <v>4063.0024704199313</v>
      </c>
      <c r="L15">
        <f>K15/2000</f>
        <v>2.0315012352099657</v>
      </c>
      <c r="M15">
        <f>K15/2250</f>
        <v>1.8057788757421918</v>
      </c>
      <c r="O15">
        <f>O14*1.05</f>
        <v>93079.692958710948</v>
      </c>
      <c r="P15">
        <f>O15-O14</f>
        <v>4432.3663313671859</v>
      </c>
      <c r="Q15">
        <f>P15/2000</f>
        <v>2.2161831656835931</v>
      </c>
      <c r="R15">
        <f>P15/2250</f>
        <v>1.9699405917187494</v>
      </c>
      <c r="T15">
        <f>E15/2000</f>
        <v>39.598631988787965</v>
      </c>
      <c r="U15">
        <f>J15/2000</f>
        <v>42.661525939409202</v>
      </c>
      <c r="V15">
        <f>O15/2000</f>
        <v>46.539846479355475</v>
      </c>
      <c r="W15">
        <f>E15/2250</f>
        <v>35.198783990033746</v>
      </c>
      <c r="X15">
        <f>J15/2250</f>
        <v>37.921356390585956</v>
      </c>
      <c r="Y15">
        <f>O15/2250</f>
        <v>41.368752426093756</v>
      </c>
    </row>
    <row r="16" spans="1:25" x14ac:dyDescent="0.25">
      <c r="A16">
        <v>20.75</v>
      </c>
      <c r="B16">
        <f>A16*2000</f>
        <v>41500</v>
      </c>
      <c r="C16">
        <f>A16*2250</f>
        <v>46687.5</v>
      </c>
      <c r="E16">
        <f>E15*1.05</f>
        <v>83157.127176454727</v>
      </c>
      <c r="F16">
        <f>E16-E15</f>
        <v>3959.8631988787965</v>
      </c>
      <c r="G16">
        <f>F16/2000</f>
        <v>1.9799315994393982</v>
      </c>
      <c r="H16">
        <f>F16/2250</f>
        <v>1.7599391995016873</v>
      </c>
      <c r="J16">
        <f>J15*1.05</f>
        <v>89589.204472759317</v>
      </c>
      <c r="K16">
        <f>J16-J15</f>
        <v>4266.1525939409185</v>
      </c>
      <c r="L16">
        <f>K16/2000</f>
        <v>2.1330762969704593</v>
      </c>
      <c r="M16">
        <f>K16/2250</f>
        <v>1.896067819529297</v>
      </c>
      <c r="O16">
        <f>O15*1.05</f>
        <v>97733.677606646495</v>
      </c>
      <c r="P16">
        <f>O16-O15</f>
        <v>4653.9846479355474</v>
      </c>
      <c r="Q16">
        <f>P16/2000</f>
        <v>2.3269923239677737</v>
      </c>
      <c r="R16">
        <f>P16/2250</f>
        <v>2.0684376213046876</v>
      </c>
      <c r="T16">
        <f>E16/2000</f>
        <v>41.578563588227361</v>
      </c>
      <c r="U16">
        <f>J16/2000</f>
        <v>44.79460223637966</v>
      </c>
      <c r="V16">
        <f>O16/2000</f>
        <v>48.866838803323247</v>
      </c>
      <c r="W16">
        <f>E16/2250</f>
        <v>36.958723189535434</v>
      </c>
      <c r="X16">
        <f>J16/2250</f>
        <v>39.817424210115249</v>
      </c>
      <c r="Y16">
        <f>O16/2250</f>
        <v>43.437190047398445</v>
      </c>
    </row>
    <row r="17" spans="1:25" x14ac:dyDescent="0.25">
      <c r="A17">
        <v>20.75</v>
      </c>
      <c r="B17">
        <f>A17*2000</f>
        <v>41500</v>
      </c>
      <c r="C17">
        <f>A17*2250</f>
        <v>46687.5</v>
      </c>
      <c r="E17">
        <f>E16*1.05</f>
        <v>87314.983535277468</v>
      </c>
      <c r="F17">
        <f>E17-E16</f>
        <v>4157.8563588227407</v>
      </c>
      <c r="G17">
        <f>F17/2000</f>
        <v>2.0789281794113705</v>
      </c>
      <c r="H17">
        <f>F17/2250</f>
        <v>1.8479361594767736</v>
      </c>
      <c r="J17">
        <f>J16*1.05</f>
        <v>94068.664696397289</v>
      </c>
      <c r="K17">
        <f>J17-J16</f>
        <v>4479.4602236379724</v>
      </c>
      <c r="L17">
        <f>K17/2000</f>
        <v>2.2397301118189863</v>
      </c>
      <c r="M17">
        <f>K17/2250</f>
        <v>1.9908712105057655</v>
      </c>
      <c r="O17">
        <f>O16*1.05</f>
        <v>102620.36148697883</v>
      </c>
      <c r="P17">
        <f>O17-O16</f>
        <v>4886.6838803323335</v>
      </c>
      <c r="Q17">
        <f>P17/2000</f>
        <v>2.4433419401661669</v>
      </c>
      <c r="R17">
        <f>P17/2250</f>
        <v>2.1718595023699261</v>
      </c>
      <c r="T17">
        <f>E17/2000</f>
        <v>43.657491767638732</v>
      </c>
      <c r="U17">
        <f>J17/2000</f>
        <v>47.034332348198646</v>
      </c>
      <c r="V17">
        <f>O17/2000</f>
        <v>51.310180743489411</v>
      </c>
      <c r="W17">
        <f>E17/2250</f>
        <v>38.806659349012207</v>
      </c>
      <c r="X17">
        <f>J17/2250</f>
        <v>41.808295420621015</v>
      </c>
      <c r="Y17">
        <f>O17/2250</f>
        <v>45.609049549768372</v>
      </c>
    </row>
    <row r="18" spans="1:25" x14ac:dyDescent="0.25">
      <c r="A18">
        <v>21.75</v>
      </c>
      <c r="B18">
        <f>A18*2000</f>
        <v>43500</v>
      </c>
      <c r="C18">
        <f>A18*2250</f>
        <v>48937.5</v>
      </c>
      <c r="E18">
        <f>E17*1.05</f>
        <v>91680.732712041339</v>
      </c>
      <c r="F18">
        <f>E18-E17</f>
        <v>4365.7491767638712</v>
      </c>
      <c r="G18">
        <f>F18/2000</f>
        <v>2.1828745883819356</v>
      </c>
      <c r="H18">
        <f>F18/2250</f>
        <v>1.9403329674506093</v>
      </c>
      <c r="J18">
        <f>J17*1.05</f>
        <v>98772.097931217155</v>
      </c>
      <c r="K18">
        <f>J18-J17</f>
        <v>4703.4332348198659</v>
      </c>
      <c r="L18">
        <f>K18/2000</f>
        <v>2.3517166174099331</v>
      </c>
      <c r="M18">
        <f>K18/2250</f>
        <v>2.0904147710310514</v>
      </c>
      <c r="O18">
        <f>O17*1.05</f>
        <v>107751.37956132778</v>
      </c>
      <c r="P18">
        <f>O18-O17</f>
        <v>5131.0180743489473</v>
      </c>
      <c r="Q18">
        <f>P18/2000</f>
        <v>2.5655090371744738</v>
      </c>
      <c r="R18">
        <f>P18/2250</f>
        <v>2.2804524774884212</v>
      </c>
      <c r="T18">
        <f>E18/2000</f>
        <v>45.840366356020667</v>
      </c>
      <c r="U18">
        <f>J18/2000</f>
        <v>49.38604896560858</v>
      </c>
      <c r="V18">
        <f>O18/2000</f>
        <v>53.87568978066389</v>
      </c>
      <c r="W18">
        <f>E18/2250</f>
        <v>40.746992316462816</v>
      </c>
      <c r="X18">
        <f>J18/2250</f>
        <v>43.898710191652071</v>
      </c>
      <c r="Y18">
        <f>O18/2250</f>
        <v>47.889502027256789</v>
      </c>
    </row>
    <row r="19" spans="1:25" x14ac:dyDescent="0.25">
      <c r="A19">
        <v>21.75</v>
      </c>
      <c r="B19">
        <f>A19*2000</f>
        <v>43500</v>
      </c>
      <c r="C19">
        <f>A19*2250</f>
        <v>48937.5</v>
      </c>
      <c r="E19">
        <f>E18*1.05</f>
        <v>96264.769347643407</v>
      </c>
      <c r="F19">
        <f>E19-E18</f>
        <v>4584.0366356020677</v>
      </c>
      <c r="G19">
        <f>F19/2000</f>
        <v>2.292018317801034</v>
      </c>
      <c r="H19">
        <f>F19/2250</f>
        <v>2.0373496158231412</v>
      </c>
      <c r="J19">
        <f>J18*1.05</f>
        <v>103710.70282777802</v>
      </c>
      <c r="K19">
        <f>J19-J18</f>
        <v>4938.6048965608643</v>
      </c>
      <c r="L19">
        <f>K19/2000</f>
        <v>2.4693024482804322</v>
      </c>
      <c r="M19">
        <f>K19/2250</f>
        <v>2.1949355095826064</v>
      </c>
      <c r="O19">
        <f>O18*1.05</f>
        <v>113138.94853939417</v>
      </c>
      <c r="P19">
        <f>O19-O18</f>
        <v>5387.5689780663961</v>
      </c>
      <c r="Q19">
        <f>P19/2000</f>
        <v>2.6937844890331979</v>
      </c>
      <c r="R19">
        <f>P19/2250</f>
        <v>2.3944751013628429</v>
      </c>
      <c r="T19">
        <f>E19/2000</f>
        <v>48.132384673821704</v>
      </c>
      <c r="U19">
        <f>J19/2000</f>
        <v>51.855351413889011</v>
      </c>
      <c r="V19">
        <f>O19/2000</f>
        <v>56.569474269697089</v>
      </c>
      <c r="W19">
        <f>E19/2250</f>
        <v>42.784341932285962</v>
      </c>
      <c r="X19">
        <f>J19/2250</f>
        <v>46.093645701234678</v>
      </c>
      <c r="Y19">
        <f>O19/2250</f>
        <v>50.283977128619632</v>
      </c>
    </row>
    <row r="20" spans="1:25" x14ac:dyDescent="0.25">
      <c r="A20">
        <v>22.75</v>
      </c>
      <c r="B20">
        <f>A20*2000</f>
        <v>45500</v>
      </c>
      <c r="C20">
        <f>A20*2250</f>
        <v>51187.5</v>
      </c>
      <c r="E20">
        <f>E19*1.05</f>
        <v>101078.00781502559</v>
      </c>
      <c r="F20">
        <f>E20-E19</f>
        <v>4813.2384673821798</v>
      </c>
      <c r="G20">
        <f>F20/2000</f>
        <v>2.4066192336910901</v>
      </c>
      <c r="H20">
        <f>F20/2250</f>
        <v>2.1392170966143023</v>
      </c>
      <c r="J20">
        <f>J19*1.05</f>
        <v>108896.23796916692</v>
      </c>
      <c r="K20">
        <f>J20-J19</f>
        <v>5185.5351413889002</v>
      </c>
      <c r="L20">
        <f>K20/2000</f>
        <v>2.5927675706944502</v>
      </c>
      <c r="M20">
        <f>K20/2250</f>
        <v>2.3046822850617334</v>
      </c>
      <c r="O20">
        <f>O19*1.05</f>
        <v>118795.89596636388</v>
      </c>
      <c r="P20">
        <f>O20-O19</f>
        <v>5656.9474269697093</v>
      </c>
      <c r="Q20">
        <f>P20/2000</f>
        <v>2.8284737134848545</v>
      </c>
      <c r="R20">
        <f>P20/2250</f>
        <v>2.5141988564309821</v>
      </c>
      <c r="T20">
        <f>E20/2000</f>
        <v>50.539003907512793</v>
      </c>
      <c r="U20">
        <f>J20/2000</f>
        <v>54.448118984583459</v>
      </c>
      <c r="V20">
        <f>O20/2000</f>
        <v>59.397947983181943</v>
      </c>
      <c r="W20">
        <f>E20/2250</f>
        <v>44.923559028900257</v>
      </c>
      <c r="X20">
        <f>J20/2250</f>
        <v>48.398327986296408</v>
      </c>
      <c r="Y20">
        <f>O20/2250</f>
        <v>52.798175985050612</v>
      </c>
    </row>
    <row r="21" spans="1:25" x14ac:dyDescent="0.25">
      <c r="A21">
        <v>22.75</v>
      </c>
      <c r="B21">
        <f>A21*2000</f>
        <v>45500</v>
      </c>
      <c r="C21">
        <f>A21*2250</f>
        <v>51187.5</v>
      </c>
      <c r="E21">
        <f>E20*1.05</f>
        <v>106131.90820577687</v>
      </c>
      <c r="F21">
        <f>E21-E20</f>
        <v>5053.9003907512815</v>
      </c>
      <c r="G21">
        <f>F21/2000</f>
        <v>2.5269501953756408</v>
      </c>
      <c r="H21">
        <f>F21/2250</f>
        <v>2.2461779514450142</v>
      </c>
      <c r="J21">
        <f>J20*1.05</f>
        <v>114341.04986762528</v>
      </c>
      <c r="K21">
        <f>J21-J20</f>
        <v>5444.8118984583562</v>
      </c>
      <c r="L21">
        <f>K21/2000</f>
        <v>2.7224059492291781</v>
      </c>
      <c r="M21">
        <f>K21/2250</f>
        <v>2.4199163993148249</v>
      </c>
      <c r="O21">
        <f>O20*1.05</f>
        <v>124735.69076468208</v>
      </c>
      <c r="P21">
        <f>O21-O20</f>
        <v>5939.7947983181948</v>
      </c>
      <c r="Q21">
        <f>P21/2000</f>
        <v>2.9698973991590973</v>
      </c>
      <c r="R21">
        <f>P21/2250</f>
        <v>2.639908799252531</v>
      </c>
      <c r="T21">
        <f>E21/2000</f>
        <v>53.065954102888433</v>
      </c>
      <c r="U21">
        <f>J21/2000</f>
        <v>57.170524933812636</v>
      </c>
      <c r="V21">
        <f>O21/2000</f>
        <v>62.367845382341038</v>
      </c>
      <c r="W21">
        <f>E21/2250</f>
        <v>47.169736980345277</v>
      </c>
      <c r="X21">
        <f>J21/2250</f>
        <v>50.81824438561123</v>
      </c>
      <c r="Y21">
        <f>O21/2250</f>
        <v>55.438084784303143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2023-05-13T21:15:35Z</dcterms:created>
  <dcterms:modified xsi:type="dcterms:W3CDTF">2023-05-15T06:14:38Z</dcterms:modified>
</cp:coreProperties>
</file>