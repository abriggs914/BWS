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ig\Documents\BWS\BWS\Tax\"/>
    </mc:Choice>
  </mc:AlternateContent>
  <xr:revisionPtr revIDLastSave="0" documentId="8_{1E9CA33B-B7C0-47EE-9668-47E4C0546CB2}" xr6:coauthVersionLast="47" xr6:coauthVersionMax="47" xr10:uidLastSave="{00000000-0000-0000-0000-000000000000}"/>
  <bookViews>
    <workbookView xWindow="-120" yWindow="-120" windowWidth="20730" windowHeight="11310" xr2:uid="{52A0F040-2A13-4C4C-A1B9-B8A23E939F6B}"/>
  </bookViews>
  <sheets>
    <sheet name="Actu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1" i="1" l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I2" i="1"/>
  <c r="I3" i="1" s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2" i="1"/>
  <c r="G2" i="1"/>
  <c r="G3" i="1" s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F2" i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2" i="1"/>
  <c r="D2" i="1"/>
  <c r="C2" i="1" s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D3" i="1" l="1"/>
  <c r="D4" i="1" l="1"/>
  <c r="C3" i="1"/>
  <c r="D5" i="1" l="1"/>
  <c r="C4" i="1"/>
  <c r="D6" i="1" l="1"/>
  <c r="C5" i="1"/>
  <c r="D7" i="1" l="1"/>
  <c r="C6" i="1"/>
  <c r="D8" i="1" l="1"/>
  <c r="C7" i="1"/>
  <c r="D9" i="1" l="1"/>
  <c r="C8" i="1"/>
  <c r="D10" i="1" l="1"/>
  <c r="C9" i="1"/>
  <c r="D11" i="1" l="1"/>
  <c r="C10" i="1"/>
  <c r="D12" i="1" l="1"/>
  <c r="C11" i="1"/>
  <c r="D13" i="1" l="1"/>
  <c r="C12" i="1"/>
  <c r="D14" i="1" l="1"/>
  <c r="C13" i="1"/>
  <c r="D15" i="1" l="1"/>
  <c r="C14" i="1"/>
  <c r="D16" i="1" l="1"/>
  <c r="C15" i="1"/>
  <c r="D17" i="1" l="1"/>
  <c r="C16" i="1"/>
  <c r="D18" i="1" l="1"/>
  <c r="C17" i="1"/>
  <c r="D19" i="1" l="1"/>
  <c r="C18" i="1"/>
  <c r="D20" i="1" l="1"/>
  <c r="C19" i="1"/>
  <c r="D21" i="1" l="1"/>
  <c r="C20" i="1"/>
  <c r="D22" i="1" l="1"/>
  <c r="C21" i="1"/>
  <c r="D23" i="1" l="1"/>
  <c r="C22" i="1"/>
  <c r="D24" i="1" l="1"/>
  <c r="C23" i="1"/>
  <c r="D25" i="1" l="1"/>
  <c r="C24" i="1"/>
  <c r="D26" i="1" l="1"/>
  <c r="C25" i="1"/>
  <c r="D27" i="1" l="1"/>
  <c r="C26" i="1"/>
  <c r="D28" i="1" l="1"/>
  <c r="C27" i="1"/>
  <c r="D29" i="1" l="1"/>
  <c r="C28" i="1"/>
  <c r="D30" i="1" l="1"/>
  <c r="C29" i="1"/>
  <c r="D31" i="1" l="1"/>
  <c r="C30" i="1"/>
  <c r="D32" i="1" l="1"/>
  <c r="C31" i="1"/>
  <c r="D33" i="1" l="1"/>
  <c r="C32" i="1"/>
  <c r="D34" i="1" l="1"/>
  <c r="C33" i="1"/>
  <c r="D35" i="1" l="1"/>
  <c r="C34" i="1"/>
  <c r="D36" i="1" l="1"/>
  <c r="C35" i="1"/>
  <c r="D37" i="1" l="1"/>
  <c r="C36" i="1"/>
  <c r="C37" i="1" l="1"/>
  <c r="D38" i="1"/>
  <c r="C38" i="1" l="1"/>
  <c r="D39" i="1"/>
  <c r="C39" i="1" l="1"/>
  <c r="D40" i="1"/>
  <c r="C40" i="1" l="1"/>
  <c r="D41" i="1"/>
  <c r="C41" i="1" l="1"/>
  <c r="D42" i="1"/>
  <c r="C42" i="1" l="1"/>
  <c r="D43" i="1"/>
  <c r="D44" i="1" l="1"/>
  <c r="C43" i="1"/>
  <c r="C44" i="1" l="1"/>
  <c r="D45" i="1"/>
  <c r="D46" i="1" l="1"/>
  <c r="C45" i="1"/>
  <c r="C46" i="1" l="1"/>
  <c r="D47" i="1"/>
  <c r="C47" i="1" l="1"/>
  <c r="D48" i="1"/>
  <c r="D49" i="1" l="1"/>
  <c r="C48" i="1"/>
  <c r="C49" i="1" l="1"/>
  <c r="D50" i="1"/>
  <c r="C50" i="1" l="1"/>
  <c r="D51" i="1"/>
  <c r="C51" i="1" l="1"/>
  <c r="D52" i="1"/>
  <c r="D53" i="1" l="1"/>
  <c r="C52" i="1"/>
  <c r="D54" i="1" l="1"/>
  <c r="C53" i="1"/>
  <c r="D55" i="1" l="1"/>
  <c r="C54" i="1"/>
  <c r="C55" i="1" l="1"/>
  <c r="D56" i="1"/>
  <c r="D57" i="1" l="1"/>
  <c r="C56" i="1"/>
  <c r="C57" i="1" l="1"/>
  <c r="D58" i="1"/>
  <c r="C58" i="1" l="1"/>
  <c r="D59" i="1"/>
  <c r="D60" i="1" l="1"/>
  <c r="C59" i="1"/>
  <c r="C60" i="1" l="1"/>
  <c r="D61" i="1"/>
  <c r="C61" i="1" s="1"/>
</calcChain>
</file>

<file path=xl/sharedStrings.xml><?xml version="1.0" encoding="utf-8"?>
<sst xmlns="http://schemas.openxmlformats.org/spreadsheetml/2006/main" count="18" uniqueCount="17">
  <si>
    <t>x</t>
  </si>
  <si>
    <t>y</t>
  </si>
  <si>
    <t>s</t>
  </si>
  <si>
    <t>m</t>
  </si>
  <si>
    <t>yt</t>
  </si>
  <si>
    <t>y1</t>
  </si>
  <si>
    <t>y2</t>
  </si>
  <si>
    <t>y4</t>
  </si>
  <si>
    <t>y3</t>
  </si>
  <si>
    <t>y5</t>
  </si>
  <si>
    <t>y6</t>
  </si>
  <si>
    <t>s1</t>
  </si>
  <si>
    <t>s2</t>
  </si>
  <si>
    <t>s3</t>
  </si>
  <si>
    <t>s4</t>
  </si>
  <si>
    <t>s5</t>
  </si>
  <si>
    <t>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</si>
</sst>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Actual!$C$1</c:f>
              <c:strCache>
                <c:ptCount val="1"/>
                <c:pt idx="0">
                  <c:v>yt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Actual!$B$2:$B$61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Actual!$C$2:$C$61</c:f>
              <c:numCache>
                <c:formatCode>General</c:formatCode>
                <c:ptCount val="60"/>
                <c:pt idx="0">
                  <c:v>2486.666666666667</c:v>
                </c:pt>
                <c:pt idx="1">
                  <c:v>4973.3333333333339</c:v>
                </c:pt>
                <c:pt idx="2">
                  <c:v>7460</c:v>
                </c:pt>
                <c:pt idx="3">
                  <c:v>9946.6666666666679</c:v>
                </c:pt>
                <c:pt idx="4">
                  <c:v>12433.333333333334</c:v>
                </c:pt>
                <c:pt idx="5">
                  <c:v>15044.333333333334</c:v>
                </c:pt>
                <c:pt idx="6">
                  <c:v>17655.333333333336</c:v>
                </c:pt>
                <c:pt idx="7">
                  <c:v>20266.333333333336</c:v>
                </c:pt>
                <c:pt idx="8">
                  <c:v>22877.333333333336</c:v>
                </c:pt>
                <c:pt idx="9">
                  <c:v>25488.333333333336</c:v>
                </c:pt>
                <c:pt idx="10">
                  <c:v>28099.333333333336</c:v>
                </c:pt>
                <c:pt idx="11">
                  <c:v>30710.333333333336</c:v>
                </c:pt>
                <c:pt idx="12">
                  <c:v>33451.883333333339</c:v>
                </c:pt>
                <c:pt idx="13">
                  <c:v>36193.433333333334</c:v>
                </c:pt>
                <c:pt idx="14">
                  <c:v>38934.983333333337</c:v>
                </c:pt>
                <c:pt idx="15">
                  <c:v>41676.53333333334</c:v>
                </c:pt>
                <c:pt idx="16">
                  <c:v>44418.083333333336</c:v>
                </c:pt>
                <c:pt idx="17">
                  <c:v>47159.633333333339</c:v>
                </c:pt>
                <c:pt idx="18">
                  <c:v>49901.183333333334</c:v>
                </c:pt>
                <c:pt idx="19">
                  <c:v>52642.733333333337</c:v>
                </c:pt>
                <c:pt idx="20">
                  <c:v>55384.28333333334</c:v>
                </c:pt>
                <c:pt idx="21">
                  <c:v>58125.833333333336</c:v>
                </c:pt>
                <c:pt idx="22">
                  <c:v>60867.383333333339</c:v>
                </c:pt>
                <c:pt idx="23">
                  <c:v>63608.933333333334</c:v>
                </c:pt>
                <c:pt idx="24">
                  <c:v>66487.560833333337</c:v>
                </c:pt>
                <c:pt idx="25">
                  <c:v>69366.188333333339</c:v>
                </c:pt>
                <c:pt idx="26">
                  <c:v>72244.815833333341</c:v>
                </c:pt>
                <c:pt idx="27">
                  <c:v>75123.443333333344</c:v>
                </c:pt>
                <c:pt idx="28">
                  <c:v>78002.070833333331</c:v>
                </c:pt>
                <c:pt idx="29">
                  <c:v>80880.698333333334</c:v>
                </c:pt>
                <c:pt idx="30">
                  <c:v>83759.325833333336</c:v>
                </c:pt>
                <c:pt idx="31">
                  <c:v>86637.953333333338</c:v>
                </c:pt>
                <c:pt idx="32">
                  <c:v>89516.580833333341</c:v>
                </c:pt>
                <c:pt idx="33">
                  <c:v>92395.208333333343</c:v>
                </c:pt>
                <c:pt idx="34">
                  <c:v>95273.835833333331</c:v>
                </c:pt>
                <c:pt idx="35">
                  <c:v>98152.463333333348</c:v>
                </c:pt>
                <c:pt idx="36">
                  <c:v>101175.02220833335</c:v>
                </c:pt>
                <c:pt idx="37">
                  <c:v>104197.58108333335</c:v>
                </c:pt>
                <c:pt idx="38">
                  <c:v>107220.13995833334</c:v>
                </c:pt>
                <c:pt idx="39">
                  <c:v>110242.69883333334</c:v>
                </c:pt>
                <c:pt idx="40">
                  <c:v>113265.25770833335</c:v>
                </c:pt>
                <c:pt idx="41">
                  <c:v>116287.81658333335</c:v>
                </c:pt>
                <c:pt idx="42">
                  <c:v>119310.37545833335</c:v>
                </c:pt>
                <c:pt idx="43">
                  <c:v>122332.93433333335</c:v>
                </c:pt>
                <c:pt idx="44">
                  <c:v>125355.49320833334</c:v>
                </c:pt>
                <c:pt idx="45">
                  <c:v>128378.05208333334</c:v>
                </c:pt>
                <c:pt idx="46">
                  <c:v>131400.61095833336</c:v>
                </c:pt>
                <c:pt idx="47">
                  <c:v>134423.16983333335</c:v>
                </c:pt>
                <c:pt idx="48">
                  <c:v>137596.85665208334</c:v>
                </c:pt>
                <c:pt idx="49">
                  <c:v>140770.54347083336</c:v>
                </c:pt>
                <c:pt idx="50">
                  <c:v>143944.23028958336</c:v>
                </c:pt>
                <c:pt idx="51">
                  <c:v>147117.91710833338</c:v>
                </c:pt>
                <c:pt idx="52">
                  <c:v>150291.60392708337</c:v>
                </c:pt>
                <c:pt idx="53">
                  <c:v>153465.29074583336</c:v>
                </c:pt>
                <c:pt idx="54">
                  <c:v>156638.97756458339</c:v>
                </c:pt>
                <c:pt idx="55">
                  <c:v>159812.66438333338</c:v>
                </c:pt>
                <c:pt idx="56">
                  <c:v>162986.35120208337</c:v>
                </c:pt>
                <c:pt idx="57">
                  <c:v>166160.0380208334</c:v>
                </c:pt>
                <c:pt idx="58">
                  <c:v>169333.72483958339</c:v>
                </c:pt>
                <c:pt idx="59">
                  <c:v>172507.41165833341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5-41B1-9BF5-D02597522976}"/>
            </c:ext>
          </c:extLst>
        </c:ser>
        <c:ser>
          <c:idx val="1"/>
          <c:order val="1"/>
          <c:tx>
            <c:strRef>
              <c:f>Actual!$D$1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Actual!$B$2:$B$61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Actual!$D$2:$D$61</c:f>
              <c:numCache>
                <c:formatCode>General</c:formatCode>
                <c:ptCount val="60"/>
                <c:pt idx="0">
                  <c:v>3333.3333333333335</c:v>
                </c:pt>
                <c:pt idx="1">
                  <c:v>6666.666666666667</c:v>
                </c:pt>
                <c:pt idx="2">
                  <c:v>10000</c:v>
                </c:pt>
                <c:pt idx="3">
                  <c:v>13333.333333333334</c:v>
                </c:pt>
                <c:pt idx="4">
                  <c:v>16666.666666666668</c:v>
                </c:pt>
                <c:pt idx="5">
                  <c:v>20166.666666666668</c:v>
                </c:pt>
                <c:pt idx="6">
                  <c:v>23666.666666666668</c:v>
                </c:pt>
                <c:pt idx="7">
                  <c:v>27166.666666666668</c:v>
                </c:pt>
                <c:pt idx="8">
                  <c:v>30666.666666666668</c:v>
                </c:pt>
                <c:pt idx="9">
                  <c:v>34166.666666666672</c:v>
                </c:pt>
                <c:pt idx="10">
                  <c:v>37666.666666666672</c:v>
                </c:pt>
                <c:pt idx="11">
                  <c:v>41166.666666666672</c:v>
                </c:pt>
                <c:pt idx="12">
                  <c:v>44841.666666666672</c:v>
                </c:pt>
                <c:pt idx="13">
                  <c:v>48516.666666666672</c:v>
                </c:pt>
                <c:pt idx="14">
                  <c:v>52191.666666666672</c:v>
                </c:pt>
                <c:pt idx="15">
                  <c:v>55866.666666666672</c:v>
                </c:pt>
                <c:pt idx="16">
                  <c:v>59541.666666666672</c:v>
                </c:pt>
                <c:pt idx="17">
                  <c:v>63216.666666666672</c:v>
                </c:pt>
                <c:pt idx="18">
                  <c:v>66891.666666666672</c:v>
                </c:pt>
                <c:pt idx="19">
                  <c:v>70566.666666666672</c:v>
                </c:pt>
                <c:pt idx="20">
                  <c:v>74241.666666666672</c:v>
                </c:pt>
                <c:pt idx="21">
                  <c:v>77916.666666666672</c:v>
                </c:pt>
                <c:pt idx="22">
                  <c:v>81591.666666666672</c:v>
                </c:pt>
                <c:pt idx="23">
                  <c:v>85266.666666666672</c:v>
                </c:pt>
                <c:pt idx="24">
                  <c:v>89125.416666666672</c:v>
                </c:pt>
                <c:pt idx="25">
                  <c:v>92984.166666666672</c:v>
                </c:pt>
                <c:pt idx="26">
                  <c:v>96842.916666666672</c:v>
                </c:pt>
                <c:pt idx="27">
                  <c:v>100701.66666666667</c:v>
                </c:pt>
                <c:pt idx="28">
                  <c:v>104560.41666666667</c:v>
                </c:pt>
                <c:pt idx="29">
                  <c:v>108419.16666666667</c:v>
                </c:pt>
                <c:pt idx="30">
                  <c:v>112277.91666666667</c:v>
                </c:pt>
                <c:pt idx="31">
                  <c:v>116136.66666666667</c:v>
                </c:pt>
                <c:pt idx="32">
                  <c:v>119995.41666666667</c:v>
                </c:pt>
                <c:pt idx="33">
                  <c:v>123854.16666666667</c:v>
                </c:pt>
                <c:pt idx="34">
                  <c:v>127712.91666666667</c:v>
                </c:pt>
                <c:pt idx="35">
                  <c:v>131571.66666666669</c:v>
                </c:pt>
                <c:pt idx="36">
                  <c:v>135623.35416666669</c:v>
                </c:pt>
                <c:pt idx="37">
                  <c:v>139675.04166666669</c:v>
                </c:pt>
                <c:pt idx="38">
                  <c:v>143726.72916666669</c:v>
                </c:pt>
                <c:pt idx="39">
                  <c:v>147778.41666666669</c:v>
                </c:pt>
                <c:pt idx="40">
                  <c:v>151830.10416666669</c:v>
                </c:pt>
                <c:pt idx="41">
                  <c:v>155881.79166666669</c:v>
                </c:pt>
                <c:pt idx="42">
                  <c:v>159933.47916666669</c:v>
                </c:pt>
                <c:pt idx="43">
                  <c:v>163985.16666666669</c:v>
                </c:pt>
                <c:pt idx="44">
                  <c:v>168036.85416666669</c:v>
                </c:pt>
                <c:pt idx="45">
                  <c:v>172088.54166666669</c:v>
                </c:pt>
                <c:pt idx="46">
                  <c:v>176140.22916666669</c:v>
                </c:pt>
                <c:pt idx="47">
                  <c:v>180191.91666666669</c:v>
                </c:pt>
                <c:pt idx="48">
                  <c:v>184446.18854166669</c:v>
                </c:pt>
                <c:pt idx="49">
                  <c:v>188700.4604166667</c:v>
                </c:pt>
                <c:pt idx="50">
                  <c:v>192954.7322916667</c:v>
                </c:pt>
                <c:pt idx="51">
                  <c:v>197209.00416666671</c:v>
                </c:pt>
                <c:pt idx="52">
                  <c:v>201463.27604166672</c:v>
                </c:pt>
                <c:pt idx="53">
                  <c:v>205717.54791666672</c:v>
                </c:pt>
                <c:pt idx="54">
                  <c:v>209971.81979166673</c:v>
                </c:pt>
                <c:pt idx="55">
                  <c:v>214226.09166666673</c:v>
                </c:pt>
                <c:pt idx="56">
                  <c:v>218480.36354166674</c:v>
                </c:pt>
                <c:pt idx="57">
                  <c:v>222734.63541666674</c:v>
                </c:pt>
                <c:pt idx="58">
                  <c:v>226988.90729166675</c:v>
                </c:pt>
                <c:pt idx="59">
                  <c:v>231243.17916666676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E5-41B1-9BF5-D02597522976}"/>
            </c:ext>
          </c:extLst>
        </c:ser>
        <c:ser>
          <c:idx val="2"/>
          <c:order val="2"/>
          <c:tx>
            <c:strRef>
              <c:f>Actual!$E$1</c:f>
              <c:strCache>
                <c:ptCount val="1"/>
                <c:pt idx="0">
                  <c:v>y1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Actual!$B$2:$B$61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Actual!$E$2:$E$61</c:f>
              <c:numCache>
                <c:formatCode>General</c:formatCode>
                <c:ptCount val="60"/>
                <c:pt idx="0">
                  <c:v>3333.3333333333335</c:v>
                </c:pt>
                <c:pt idx="1">
                  <c:v>6666.666666666667</c:v>
                </c:pt>
                <c:pt idx="2">
                  <c:v>10000</c:v>
                </c:pt>
                <c:pt idx="3">
                  <c:v>13333.333333333334</c:v>
                </c:pt>
                <c:pt idx="4">
                  <c:v>16666.666666666668</c:v>
                </c:pt>
                <c:pt idx="5">
                  <c:v>20000</c:v>
                </c:pt>
                <c:pt idx="6">
                  <c:v>23333.333333333332</c:v>
                </c:pt>
                <c:pt idx="7">
                  <c:v>26666.666666666664</c:v>
                </c:pt>
                <c:pt idx="8">
                  <c:v>29999.999999999996</c:v>
                </c:pt>
                <c:pt idx="9">
                  <c:v>33333.333333333328</c:v>
                </c:pt>
                <c:pt idx="10">
                  <c:v>36666.666666666664</c:v>
                </c:pt>
                <c:pt idx="11">
                  <c:v>40000</c:v>
                </c:pt>
                <c:pt idx="12">
                  <c:v>43333.333333333336</c:v>
                </c:pt>
                <c:pt idx="13">
                  <c:v>46666.666666666672</c:v>
                </c:pt>
                <c:pt idx="14">
                  <c:v>50000.000000000007</c:v>
                </c:pt>
                <c:pt idx="15">
                  <c:v>53333.333333333343</c:v>
                </c:pt>
                <c:pt idx="16">
                  <c:v>56666.666666666679</c:v>
                </c:pt>
                <c:pt idx="17">
                  <c:v>60000.000000000015</c:v>
                </c:pt>
                <c:pt idx="18">
                  <c:v>63333.33333333335</c:v>
                </c:pt>
                <c:pt idx="19">
                  <c:v>66666.666666666686</c:v>
                </c:pt>
                <c:pt idx="20">
                  <c:v>70000.000000000015</c:v>
                </c:pt>
                <c:pt idx="21">
                  <c:v>73333.333333333343</c:v>
                </c:pt>
                <c:pt idx="22">
                  <c:v>76666.666666666672</c:v>
                </c:pt>
                <c:pt idx="23">
                  <c:v>80000</c:v>
                </c:pt>
                <c:pt idx="24">
                  <c:v>83333.333333333328</c:v>
                </c:pt>
                <c:pt idx="25">
                  <c:v>86666.666666666657</c:v>
                </c:pt>
                <c:pt idx="26">
                  <c:v>89999.999999999985</c:v>
                </c:pt>
                <c:pt idx="27">
                  <c:v>93333.333333333314</c:v>
                </c:pt>
                <c:pt idx="28">
                  <c:v>96666.666666666642</c:v>
                </c:pt>
                <c:pt idx="29">
                  <c:v>99999.999999999971</c:v>
                </c:pt>
                <c:pt idx="30">
                  <c:v>103333.3333333333</c:v>
                </c:pt>
                <c:pt idx="31">
                  <c:v>106666.66666666663</c:v>
                </c:pt>
                <c:pt idx="32">
                  <c:v>109999.99999999996</c:v>
                </c:pt>
                <c:pt idx="33">
                  <c:v>113333.33333333328</c:v>
                </c:pt>
                <c:pt idx="34">
                  <c:v>116666.66666666661</c:v>
                </c:pt>
                <c:pt idx="35">
                  <c:v>119999.99999999994</c:v>
                </c:pt>
                <c:pt idx="36">
                  <c:v>123333.33333333327</c:v>
                </c:pt>
                <c:pt idx="37">
                  <c:v>126666.6666666666</c:v>
                </c:pt>
                <c:pt idx="38">
                  <c:v>129999.99999999993</c:v>
                </c:pt>
                <c:pt idx="39">
                  <c:v>133333.33333333326</c:v>
                </c:pt>
                <c:pt idx="40">
                  <c:v>136666.6666666666</c:v>
                </c:pt>
                <c:pt idx="41">
                  <c:v>139999.99999999994</c:v>
                </c:pt>
                <c:pt idx="42">
                  <c:v>143333.33333333328</c:v>
                </c:pt>
                <c:pt idx="43">
                  <c:v>146666.66666666663</c:v>
                </c:pt>
                <c:pt idx="44">
                  <c:v>149999.99999999997</c:v>
                </c:pt>
                <c:pt idx="45">
                  <c:v>153333.33333333331</c:v>
                </c:pt>
                <c:pt idx="46">
                  <c:v>156666.66666666666</c:v>
                </c:pt>
                <c:pt idx="47">
                  <c:v>160000</c:v>
                </c:pt>
                <c:pt idx="48">
                  <c:v>163333.33333333334</c:v>
                </c:pt>
                <c:pt idx="49">
                  <c:v>166666.66666666669</c:v>
                </c:pt>
                <c:pt idx="50">
                  <c:v>170000.00000000003</c:v>
                </c:pt>
                <c:pt idx="51">
                  <c:v>173333.33333333337</c:v>
                </c:pt>
                <c:pt idx="52">
                  <c:v>176666.66666666672</c:v>
                </c:pt>
                <c:pt idx="53">
                  <c:v>180000.00000000006</c:v>
                </c:pt>
                <c:pt idx="54">
                  <c:v>183333.3333333334</c:v>
                </c:pt>
                <c:pt idx="55">
                  <c:v>186666.66666666674</c:v>
                </c:pt>
                <c:pt idx="56">
                  <c:v>190000.00000000009</c:v>
                </c:pt>
                <c:pt idx="57">
                  <c:v>193333.33333333343</c:v>
                </c:pt>
                <c:pt idx="58">
                  <c:v>196666.66666666677</c:v>
                </c:pt>
                <c:pt idx="59">
                  <c:v>200000.00000000012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E5-41B1-9BF5-D02597522976}"/>
            </c:ext>
          </c:extLst>
        </c:ser>
        <c:ser>
          <c:idx val="3"/>
          <c:order val="3"/>
          <c:tx>
            <c:strRef>
              <c:f>Actual!$F$1</c:f>
              <c:strCache>
                <c:ptCount val="1"/>
                <c:pt idx="0">
                  <c:v>y2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Actual!$B$2:$B$61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Actual!$F$2:$F$61</c:f>
              <c:numCache>
                <c:formatCode>General</c:formatCode>
                <c:ptCount val="60"/>
                <c:pt idx="0">
                  <c:v>3500</c:v>
                </c:pt>
                <c:pt idx="1">
                  <c:v>7000</c:v>
                </c:pt>
                <c:pt idx="2">
                  <c:v>10500</c:v>
                </c:pt>
                <c:pt idx="3">
                  <c:v>14000</c:v>
                </c:pt>
                <c:pt idx="4">
                  <c:v>17500</c:v>
                </c:pt>
                <c:pt idx="5">
                  <c:v>21000</c:v>
                </c:pt>
                <c:pt idx="6">
                  <c:v>24500</c:v>
                </c:pt>
                <c:pt idx="7">
                  <c:v>28000</c:v>
                </c:pt>
                <c:pt idx="8">
                  <c:v>31500</c:v>
                </c:pt>
                <c:pt idx="9">
                  <c:v>35000</c:v>
                </c:pt>
                <c:pt idx="10">
                  <c:v>38500</c:v>
                </c:pt>
                <c:pt idx="11">
                  <c:v>42000</c:v>
                </c:pt>
                <c:pt idx="12">
                  <c:v>45500</c:v>
                </c:pt>
                <c:pt idx="13">
                  <c:v>49000</c:v>
                </c:pt>
                <c:pt idx="14">
                  <c:v>52500</c:v>
                </c:pt>
                <c:pt idx="15">
                  <c:v>56000</c:v>
                </c:pt>
                <c:pt idx="16">
                  <c:v>59500</c:v>
                </c:pt>
                <c:pt idx="17">
                  <c:v>63000</c:v>
                </c:pt>
                <c:pt idx="18">
                  <c:v>66500</c:v>
                </c:pt>
                <c:pt idx="19">
                  <c:v>70000</c:v>
                </c:pt>
                <c:pt idx="20">
                  <c:v>73500</c:v>
                </c:pt>
                <c:pt idx="21">
                  <c:v>77000</c:v>
                </c:pt>
                <c:pt idx="22">
                  <c:v>80500</c:v>
                </c:pt>
                <c:pt idx="23">
                  <c:v>84000</c:v>
                </c:pt>
                <c:pt idx="24">
                  <c:v>87500</c:v>
                </c:pt>
                <c:pt idx="25">
                  <c:v>91000</c:v>
                </c:pt>
                <c:pt idx="26">
                  <c:v>94500</c:v>
                </c:pt>
                <c:pt idx="27">
                  <c:v>98000</c:v>
                </c:pt>
                <c:pt idx="28">
                  <c:v>101500</c:v>
                </c:pt>
                <c:pt idx="29">
                  <c:v>105000</c:v>
                </c:pt>
                <c:pt idx="30">
                  <c:v>108500</c:v>
                </c:pt>
                <c:pt idx="31">
                  <c:v>112000</c:v>
                </c:pt>
                <c:pt idx="32">
                  <c:v>115500</c:v>
                </c:pt>
                <c:pt idx="33">
                  <c:v>119000</c:v>
                </c:pt>
                <c:pt idx="34">
                  <c:v>122500</c:v>
                </c:pt>
                <c:pt idx="35">
                  <c:v>126000</c:v>
                </c:pt>
                <c:pt idx="36">
                  <c:v>129500</c:v>
                </c:pt>
                <c:pt idx="37">
                  <c:v>133000</c:v>
                </c:pt>
                <c:pt idx="38">
                  <c:v>136500</c:v>
                </c:pt>
                <c:pt idx="39">
                  <c:v>140000</c:v>
                </c:pt>
                <c:pt idx="40">
                  <c:v>143500</c:v>
                </c:pt>
                <c:pt idx="41">
                  <c:v>147000</c:v>
                </c:pt>
                <c:pt idx="42">
                  <c:v>150500</c:v>
                </c:pt>
                <c:pt idx="43">
                  <c:v>154000</c:v>
                </c:pt>
                <c:pt idx="44">
                  <c:v>157500</c:v>
                </c:pt>
                <c:pt idx="45">
                  <c:v>161000</c:v>
                </c:pt>
                <c:pt idx="46">
                  <c:v>164500</c:v>
                </c:pt>
                <c:pt idx="47">
                  <c:v>168000</c:v>
                </c:pt>
                <c:pt idx="48">
                  <c:v>171500</c:v>
                </c:pt>
                <c:pt idx="49">
                  <c:v>175000</c:v>
                </c:pt>
                <c:pt idx="50">
                  <c:v>178500</c:v>
                </c:pt>
                <c:pt idx="51">
                  <c:v>182000</c:v>
                </c:pt>
                <c:pt idx="52">
                  <c:v>185500</c:v>
                </c:pt>
                <c:pt idx="53">
                  <c:v>189000</c:v>
                </c:pt>
                <c:pt idx="54">
                  <c:v>192500</c:v>
                </c:pt>
                <c:pt idx="55">
                  <c:v>196000</c:v>
                </c:pt>
                <c:pt idx="56">
                  <c:v>199500</c:v>
                </c:pt>
                <c:pt idx="57">
                  <c:v>203000</c:v>
                </c:pt>
                <c:pt idx="58">
                  <c:v>206500</c:v>
                </c:pt>
                <c:pt idx="59">
                  <c:v>210000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E5-41B1-9BF5-D02597522976}"/>
            </c:ext>
          </c:extLst>
        </c:ser>
        <c:ser>
          <c:idx val="4"/>
          <c:order val="4"/>
          <c:tx>
            <c:strRef>
              <c:f>Actual!$G$1</c:f>
              <c:strCache>
                <c:ptCount val="1"/>
                <c:pt idx="0">
                  <c:v>y3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Actual!$B$2:$B$61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Actual!$G$2:$G$61</c:f>
              <c:numCache>
                <c:formatCode>General</c:formatCode>
                <c:ptCount val="60"/>
                <c:pt idx="0">
                  <c:v>3675</c:v>
                </c:pt>
                <c:pt idx="1">
                  <c:v>7350</c:v>
                </c:pt>
                <c:pt idx="2">
                  <c:v>11025</c:v>
                </c:pt>
                <c:pt idx="3">
                  <c:v>14700</c:v>
                </c:pt>
                <c:pt idx="4">
                  <c:v>18375</c:v>
                </c:pt>
                <c:pt idx="5">
                  <c:v>22050</c:v>
                </c:pt>
                <c:pt idx="6">
                  <c:v>25725</c:v>
                </c:pt>
                <c:pt idx="7">
                  <c:v>29400</c:v>
                </c:pt>
                <c:pt idx="8">
                  <c:v>33075</c:v>
                </c:pt>
                <c:pt idx="9">
                  <c:v>36750</c:v>
                </c:pt>
                <c:pt idx="10">
                  <c:v>40425</c:v>
                </c:pt>
                <c:pt idx="11">
                  <c:v>44100</c:v>
                </c:pt>
                <c:pt idx="12">
                  <c:v>47775</c:v>
                </c:pt>
                <c:pt idx="13">
                  <c:v>51450</c:v>
                </c:pt>
                <c:pt idx="14">
                  <c:v>55125</c:v>
                </c:pt>
                <c:pt idx="15">
                  <c:v>58800</c:v>
                </c:pt>
                <c:pt idx="16">
                  <c:v>62475</c:v>
                </c:pt>
                <c:pt idx="17">
                  <c:v>66150</c:v>
                </c:pt>
                <c:pt idx="18">
                  <c:v>69825</c:v>
                </c:pt>
                <c:pt idx="19">
                  <c:v>73500</c:v>
                </c:pt>
                <c:pt idx="20">
                  <c:v>77175</c:v>
                </c:pt>
                <c:pt idx="21">
                  <c:v>80850</c:v>
                </c:pt>
                <c:pt idx="22">
                  <c:v>84525</c:v>
                </c:pt>
                <c:pt idx="23">
                  <c:v>88200</c:v>
                </c:pt>
                <c:pt idx="24">
                  <c:v>91875</c:v>
                </c:pt>
                <c:pt idx="25">
                  <c:v>95550</c:v>
                </c:pt>
                <c:pt idx="26">
                  <c:v>99225</c:v>
                </c:pt>
                <c:pt idx="27">
                  <c:v>102900</c:v>
                </c:pt>
                <c:pt idx="28">
                  <c:v>106575</c:v>
                </c:pt>
                <c:pt idx="29">
                  <c:v>110250</c:v>
                </c:pt>
                <c:pt idx="30">
                  <c:v>113925</c:v>
                </c:pt>
                <c:pt idx="31">
                  <c:v>117600</c:v>
                </c:pt>
                <c:pt idx="32">
                  <c:v>121275</c:v>
                </c:pt>
                <c:pt idx="33">
                  <c:v>124950</c:v>
                </c:pt>
                <c:pt idx="34">
                  <c:v>128625</c:v>
                </c:pt>
                <c:pt idx="35">
                  <c:v>132300</c:v>
                </c:pt>
                <c:pt idx="36">
                  <c:v>135975</c:v>
                </c:pt>
                <c:pt idx="37">
                  <c:v>139650</c:v>
                </c:pt>
                <c:pt idx="38">
                  <c:v>143325</c:v>
                </c:pt>
                <c:pt idx="39">
                  <c:v>147000</c:v>
                </c:pt>
                <c:pt idx="40">
                  <c:v>150675</c:v>
                </c:pt>
                <c:pt idx="41">
                  <c:v>154350</c:v>
                </c:pt>
                <c:pt idx="42">
                  <c:v>158025</c:v>
                </c:pt>
                <c:pt idx="43">
                  <c:v>161700</c:v>
                </c:pt>
                <c:pt idx="44">
                  <c:v>165375</c:v>
                </c:pt>
                <c:pt idx="45">
                  <c:v>169050</c:v>
                </c:pt>
                <c:pt idx="46">
                  <c:v>172725</c:v>
                </c:pt>
                <c:pt idx="47">
                  <c:v>176400</c:v>
                </c:pt>
                <c:pt idx="48">
                  <c:v>180075</c:v>
                </c:pt>
                <c:pt idx="49">
                  <c:v>183750</c:v>
                </c:pt>
                <c:pt idx="50">
                  <c:v>187425</c:v>
                </c:pt>
                <c:pt idx="51">
                  <c:v>191100</c:v>
                </c:pt>
                <c:pt idx="52">
                  <c:v>194775</c:v>
                </c:pt>
                <c:pt idx="53">
                  <c:v>198450</c:v>
                </c:pt>
                <c:pt idx="54">
                  <c:v>202125</c:v>
                </c:pt>
                <c:pt idx="55">
                  <c:v>205800</c:v>
                </c:pt>
                <c:pt idx="56">
                  <c:v>209475</c:v>
                </c:pt>
                <c:pt idx="57">
                  <c:v>213150</c:v>
                </c:pt>
                <c:pt idx="58">
                  <c:v>216825</c:v>
                </c:pt>
                <c:pt idx="59">
                  <c:v>220500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E5-41B1-9BF5-D02597522976}"/>
            </c:ext>
          </c:extLst>
        </c:ser>
        <c:ser>
          <c:idx val="5"/>
          <c:order val="5"/>
          <c:tx>
            <c:strRef>
              <c:f>Actual!$H$1</c:f>
              <c:strCache>
                <c:ptCount val="1"/>
                <c:pt idx="0">
                  <c:v>y4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Actual!$B$2:$B$61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Actual!$H$2:$H$61</c:f>
              <c:numCache>
                <c:formatCode>General</c:formatCode>
                <c:ptCount val="60"/>
                <c:pt idx="0">
                  <c:v>3858.75</c:v>
                </c:pt>
                <c:pt idx="1">
                  <c:v>7717.5</c:v>
                </c:pt>
                <c:pt idx="2">
                  <c:v>11576.25</c:v>
                </c:pt>
                <c:pt idx="3">
                  <c:v>15435</c:v>
                </c:pt>
                <c:pt idx="4">
                  <c:v>19293.75</c:v>
                </c:pt>
                <c:pt idx="5">
                  <c:v>23152.5</c:v>
                </c:pt>
                <c:pt idx="6">
                  <c:v>27011.25</c:v>
                </c:pt>
                <c:pt idx="7">
                  <c:v>30870</c:v>
                </c:pt>
                <c:pt idx="8">
                  <c:v>34728.75</c:v>
                </c:pt>
                <c:pt idx="9">
                  <c:v>38587.5</c:v>
                </c:pt>
                <c:pt idx="10">
                  <c:v>42446.25</c:v>
                </c:pt>
                <c:pt idx="11">
                  <c:v>46305</c:v>
                </c:pt>
                <c:pt idx="12">
                  <c:v>50163.75</c:v>
                </c:pt>
                <c:pt idx="13">
                  <c:v>54022.5</c:v>
                </c:pt>
                <c:pt idx="14">
                  <c:v>57881.25</c:v>
                </c:pt>
                <c:pt idx="15">
                  <c:v>61740</c:v>
                </c:pt>
                <c:pt idx="16">
                  <c:v>65598.75</c:v>
                </c:pt>
                <c:pt idx="17">
                  <c:v>69457.5</c:v>
                </c:pt>
                <c:pt idx="18">
                  <c:v>73316.25</c:v>
                </c:pt>
                <c:pt idx="19">
                  <c:v>77175</c:v>
                </c:pt>
                <c:pt idx="20">
                  <c:v>81033.75</c:v>
                </c:pt>
                <c:pt idx="21">
                  <c:v>84892.5</c:v>
                </c:pt>
                <c:pt idx="22">
                  <c:v>88751.25</c:v>
                </c:pt>
                <c:pt idx="23">
                  <c:v>92610</c:v>
                </c:pt>
                <c:pt idx="24">
                  <c:v>96468.75</c:v>
                </c:pt>
                <c:pt idx="25">
                  <c:v>100327.5</c:v>
                </c:pt>
                <c:pt idx="26">
                  <c:v>104186.25</c:v>
                </c:pt>
                <c:pt idx="27">
                  <c:v>108045</c:v>
                </c:pt>
                <c:pt idx="28">
                  <c:v>111903.75</c:v>
                </c:pt>
                <c:pt idx="29">
                  <c:v>115762.5</c:v>
                </c:pt>
                <c:pt idx="30">
                  <c:v>119621.25</c:v>
                </c:pt>
                <c:pt idx="31">
                  <c:v>123480</c:v>
                </c:pt>
                <c:pt idx="32">
                  <c:v>127338.75</c:v>
                </c:pt>
                <c:pt idx="33">
                  <c:v>131197.5</c:v>
                </c:pt>
                <c:pt idx="34">
                  <c:v>135056.25</c:v>
                </c:pt>
                <c:pt idx="35">
                  <c:v>138915</c:v>
                </c:pt>
                <c:pt idx="36">
                  <c:v>142773.75</c:v>
                </c:pt>
                <c:pt idx="37">
                  <c:v>146632.5</c:v>
                </c:pt>
                <c:pt idx="38">
                  <c:v>150491.25</c:v>
                </c:pt>
                <c:pt idx="39">
                  <c:v>154350</c:v>
                </c:pt>
                <c:pt idx="40">
                  <c:v>158208.75</c:v>
                </c:pt>
                <c:pt idx="41">
                  <c:v>162067.5</c:v>
                </c:pt>
                <c:pt idx="42">
                  <c:v>165926.25</c:v>
                </c:pt>
                <c:pt idx="43">
                  <c:v>169785</c:v>
                </c:pt>
                <c:pt idx="44">
                  <c:v>173643.75</c:v>
                </c:pt>
                <c:pt idx="45">
                  <c:v>177502.5</c:v>
                </c:pt>
                <c:pt idx="46">
                  <c:v>181361.25</c:v>
                </c:pt>
                <c:pt idx="47">
                  <c:v>185220</c:v>
                </c:pt>
                <c:pt idx="48">
                  <c:v>189078.75</c:v>
                </c:pt>
                <c:pt idx="49">
                  <c:v>192937.5</c:v>
                </c:pt>
                <c:pt idx="50">
                  <c:v>196796.25</c:v>
                </c:pt>
                <c:pt idx="51">
                  <c:v>200655</c:v>
                </c:pt>
                <c:pt idx="52">
                  <c:v>204513.75</c:v>
                </c:pt>
                <c:pt idx="53">
                  <c:v>208372.5</c:v>
                </c:pt>
                <c:pt idx="54">
                  <c:v>212231.25</c:v>
                </c:pt>
                <c:pt idx="55">
                  <c:v>216090</c:v>
                </c:pt>
                <c:pt idx="56">
                  <c:v>219948.75</c:v>
                </c:pt>
                <c:pt idx="57">
                  <c:v>223807.5</c:v>
                </c:pt>
                <c:pt idx="58">
                  <c:v>227666.25</c:v>
                </c:pt>
                <c:pt idx="59">
                  <c:v>231525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8E5-41B1-9BF5-D02597522976}"/>
            </c:ext>
          </c:extLst>
        </c:ser>
        <c:ser>
          <c:idx val="6"/>
          <c:order val="6"/>
          <c:tx>
            <c:strRef>
              <c:f>Actual!$I$1</c:f>
              <c:strCache>
                <c:ptCount val="1"/>
                <c:pt idx="0">
                  <c:v>y5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Actual!$B$2:$B$61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Actual!$I$2:$I$61</c:f>
              <c:numCache>
                <c:formatCode>General</c:formatCode>
                <c:ptCount val="60"/>
                <c:pt idx="0">
                  <c:v>4051.6875</c:v>
                </c:pt>
                <c:pt idx="1">
                  <c:v>8103.375</c:v>
                </c:pt>
                <c:pt idx="2">
                  <c:v>12155.0625</c:v>
                </c:pt>
                <c:pt idx="3">
                  <c:v>16206.75</c:v>
                </c:pt>
                <c:pt idx="4">
                  <c:v>20258.4375</c:v>
                </c:pt>
                <c:pt idx="5">
                  <c:v>24310.125</c:v>
                </c:pt>
                <c:pt idx="6">
                  <c:v>28361.8125</c:v>
                </c:pt>
                <c:pt idx="7">
                  <c:v>32413.5</c:v>
                </c:pt>
                <c:pt idx="8">
                  <c:v>36465.1875</c:v>
                </c:pt>
                <c:pt idx="9">
                  <c:v>40516.875</c:v>
                </c:pt>
                <c:pt idx="10">
                  <c:v>44568.5625</c:v>
                </c:pt>
                <c:pt idx="11">
                  <c:v>48620.25</c:v>
                </c:pt>
                <c:pt idx="12">
                  <c:v>52671.9375</c:v>
                </c:pt>
                <c:pt idx="13">
                  <c:v>56723.625</c:v>
                </c:pt>
                <c:pt idx="14">
                  <c:v>60775.3125</c:v>
                </c:pt>
                <c:pt idx="15">
                  <c:v>64827</c:v>
                </c:pt>
                <c:pt idx="16">
                  <c:v>68878.6875</c:v>
                </c:pt>
                <c:pt idx="17">
                  <c:v>72930.375</c:v>
                </c:pt>
                <c:pt idx="18">
                  <c:v>76982.0625</c:v>
                </c:pt>
                <c:pt idx="19">
                  <c:v>81033.75</c:v>
                </c:pt>
                <c:pt idx="20">
                  <c:v>85085.4375</c:v>
                </c:pt>
                <c:pt idx="21">
                  <c:v>89137.125</c:v>
                </c:pt>
                <c:pt idx="22">
                  <c:v>93188.8125</c:v>
                </c:pt>
                <c:pt idx="23">
                  <c:v>97240.5</c:v>
                </c:pt>
                <c:pt idx="24">
                  <c:v>101292.1875</c:v>
                </c:pt>
                <c:pt idx="25">
                  <c:v>105343.875</c:v>
                </c:pt>
                <c:pt idx="26">
                  <c:v>109395.5625</c:v>
                </c:pt>
                <c:pt idx="27">
                  <c:v>113447.25</c:v>
                </c:pt>
                <c:pt idx="28">
                  <c:v>117498.9375</c:v>
                </c:pt>
                <c:pt idx="29">
                  <c:v>121550.625</c:v>
                </c:pt>
                <c:pt idx="30">
                  <c:v>125602.3125</c:v>
                </c:pt>
                <c:pt idx="31">
                  <c:v>129654</c:v>
                </c:pt>
                <c:pt idx="32">
                  <c:v>133705.6875</c:v>
                </c:pt>
                <c:pt idx="33">
                  <c:v>137757.375</c:v>
                </c:pt>
                <c:pt idx="34">
                  <c:v>141809.0625</c:v>
                </c:pt>
                <c:pt idx="35">
                  <c:v>145860.75</c:v>
                </c:pt>
                <c:pt idx="36">
                  <c:v>149912.4375</c:v>
                </c:pt>
                <c:pt idx="37">
                  <c:v>153964.125</c:v>
                </c:pt>
                <c:pt idx="38">
                  <c:v>158015.8125</c:v>
                </c:pt>
                <c:pt idx="39">
                  <c:v>162067.5</c:v>
                </c:pt>
                <c:pt idx="40">
                  <c:v>166119.1875</c:v>
                </c:pt>
                <c:pt idx="41">
                  <c:v>170170.875</c:v>
                </c:pt>
                <c:pt idx="42">
                  <c:v>174222.5625</c:v>
                </c:pt>
                <c:pt idx="43">
                  <c:v>178274.25</c:v>
                </c:pt>
                <c:pt idx="44">
                  <c:v>182325.9375</c:v>
                </c:pt>
                <c:pt idx="45">
                  <c:v>186377.625</c:v>
                </c:pt>
                <c:pt idx="46">
                  <c:v>190429.3125</c:v>
                </c:pt>
                <c:pt idx="47">
                  <c:v>194481</c:v>
                </c:pt>
                <c:pt idx="48">
                  <c:v>198532.6875</c:v>
                </c:pt>
                <c:pt idx="49">
                  <c:v>202584.375</c:v>
                </c:pt>
                <c:pt idx="50">
                  <c:v>206636.0625</c:v>
                </c:pt>
                <c:pt idx="51">
                  <c:v>210687.75</c:v>
                </c:pt>
                <c:pt idx="52">
                  <c:v>214739.4375</c:v>
                </c:pt>
                <c:pt idx="53">
                  <c:v>218791.125</c:v>
                </c:pt>
                <c:pt idx="54">
                  <c:v>222842.8125</c:v>
                </c:pt>
                <c:pt idx="55">
                  <c:v>226894.5</c:v>
                </c:pt>
                <c:pt idx="56">
                  <c:v>230946.1875</c:v>
                </c:pt>
                <c:pt idx="57">
                  <c:v>234997.875</c:v>
                </c:pt>
                <c:pt idx="58">
                  <c:v>239049.5625</c:v>
                </c:pt>
                <c:pt idx="59">
                  <c:v>243101.25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E5-41B1-9BF5-D02597522976}"/>
            </c:ext>
          </c:extLst>
        </c:ser>
        <c:ser>
          <c:idx val="7"/>
          <c:order val="7"/>
          <c:tx>
            <c:strRef>
              <c:f>Actual!$J$1</c:f>
              <c:strCache>
                <c:ptCount val="1"/>
                <c:pt idx="0">
                  <c:v>y6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Actual!$B$2:$B$61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Actual!$J$2:$J$61</c:f>
              <c:numCache>
                <c:formatCode>General</c:formatCode>
                <c:ptCount val="60"/>
                <c:pt idx="0">
                  <c:v>4254.2718749999995</c:v>
                </c:pt>
                <c:pt idx="1">
                  <c:v>8508.5437499999989</c:v>
                </c:pt>
                <c:pt idx="2">
                  <c:v>12762.815624999999</c:v>
                </c:pt>
                <c:pt idx="3">
                  <c:v>17017.087499999998</c:v>
                </c:pt>
                <c:pt idx="4">
                  <c:v>21271.359374999996</c:v>
                </c:pt>
                <c:pt idx="5">
                  <c:v>25525.631249999995</c:v>
                </c:pt>
                <c:pt idx="6">
                  <c:v>29779.903124999993</c:v>
                </c:pt>
                <c:pt idx="7">
                  <c:v>34034.174999999996</c:v>
                </c:pt>
                <c:pt idx="8">
                  <c:v>38288.446874999994</c:v>
                </c:pt>
                <c:pt idx="9">
                  <c:v>42542.718749999993</c:v>
                </c:pt>
                <c:pt idx="10">
                  <c:v>46796.990624999991</c:v>
                </c:pt>
                <c:pt idx="11">
                  <c:v>51051.26249999999</c:v>
                </c:pt>
                <c:pt idx="12">
                  <c:v>55305.534374999988</c:v>
                </c:pt>
                <c:pt idx="13">
                  <c:v>59559.806249999987</c:v>
                </c:pt>
                <c:pt idx="14">
                  <c:v>63814.078124999985</c:v>
                </c:pt>
                <c:pt idx="15">
                  <c:v>68068.349999999991</c:v>
                </c:pt>
                <c:pt idx="16">
                  <c:v>72322.621874999997</c:v>
                </c:pt>
                <c:pt idx="17">
                  <c:v>76576.893750000003</c:v>
                </c:pt>
                <c:pt idx="18">
                  <c:v>80831.165625000009</c:v>
                </c:pt>
                <c:pt idx="19">
                  <c:v>85085.437500000015</c:v>
                </c:pt>
                <c:pt idx="20">
                  <c:v>89339.70937500002</c:v>
                </c:pt>
                <c:pt idx="21">
                  <c:v>93593.981250000026</c:v>
                </c:pt>
                <c:pt idx="22">
                  <c:v>97848.253125000032</c:v>
                </c:pt>
                <c:pt idx="23">
                  <c:v>102102.52500000004</c:v>
                </c:pt>
                <c:pt idx="24">
                  <c:v>106356.79687500004</c:v>
                </c:pt>
                <c:pt idx="25">
                  <c:v>110611.06875000005</c:v>
                </c:pt>
                <c:pt idx="26">
                  <c:v>114865.34062500006</c:v>
                </c:pt>
                <c:pt idx="27">
                  <c:v>119119.61250000006</c:v>
                </c:pt>
                <c:pt idx="28">
                  <c:v>123373.88437500007</c:v>
                </c:pt>
                <c:pt idx="29">
                  <c:v>127628.15625000007</c:v>
                </c:pt>
                <c:pt idx="30">
                  <c:v>131882.42812500006</c:v>
                </c:pt>
                <c:pt idx="31">
                  <c:v>136136.70000000007</c:v>
                </c:pt>
                <c:pt idx="32">
                  <c:v>140390.97187500008</c:v>
                </c:pt>
                <c:pt idx="33">
                  <c:v>144645.24375000008</c:v>
                </c:pt>
                <c:pt idx="34">
                  <c:v>148899.51562500009</c:v>
                </c:pt>
                <c:pt idx="35">
                  <c:v>153153.78750000009</c:v>
                </c:pt>
                <c:pt idx="36">
                  <c:v>157408.0593750001</c:v>
                </c:pt>
                <c:pt idx="37">
                  <c:v>161662.3312500001</c:v>
                </c:pt>
                <c:pt idx="38">
                  <c:v>165916.60312500011</c:v>
                </c:pt>
                <c:pt idx="39">
                  <c:v>170170.87500000012</c:v>
                </c:pt>
                <c:pt idx="40">
                  <c:v>174425.14687500012</c:v>
                </c:pt>
                <c:pt idx="41">
                  <c:v>178679.41875000013</c:v>
                </c:pt>
                <c:pt idx="42">
                  <c:v>182933.69062500013</c:v>
                </c:pt>
                <c:pt idx="43">
                  <c:v>187187.96250000014</c:v>
                </c:pt>
                <c:pt idx="44">
                  <c:v>191442.23437500015</c:v>
                </c:pt>
                <c:pt idx="45">
                  <c:v>195696.50625000015</c:v>
                </c:pt>
                <c:pt idx="46">
                  <c:v>199950.77812500016</c:v>
                </c:pt>
                <c:pt idx="47">
                  <c:v>204205.05000000016</c:v>
                </c:pt>
                <c:pt idx="48">
                  <c:v>208459.32187500017</c:v>
                </c:pt>
                <c:pt idx="49">
                  <c:v>212713.59375000017</c:v>
                </c:pt>
                <c:pt idx="50">
                  <c:v>216967.86562500018</c:v>
                </c:pt>
                <c:pt idx="51">
                  <c:v>221222.13750000019</c:v>
                </c:pt>
                <c:pt idx="52">
                  <c:v>225476.40937500019</c:v>
                </c:pt>
                <c:pt idx="53">
                  <c:v>229730.6812500002</c:v>
                </c:pt>
                <c:pt idx="54">
                  <c:v>233984.9531250002</c:v>
                </c:pt>
                <c:pt idx="55">
                  <c:v>238239.22500000021</c:v>
                </c:pt>
                <c:pt idx="56">
                  <c:v>242493.49687500022</c:v>
                </c:pt>
                <c:pt idx="57">
                  <c:v>246747.76875000022</c:v>
                </c:pt>
                <c:pt idx="58">
                  <c:v>251002.04062500023</c:v>
                </c:pt>
                <c:pt idx="59">
                  <c:v>255256.31250000023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8E5-41B1-9BF5-D02597522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5014280"/>
        <c:axId val="535014936"/>
      </c:lineChart>
      <c:catAx>
        <c:axId val="535014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014936"/>
        <c:crosses val="autoZero"/>
        <c:auto val="1"/>
        <c:lblAlgn val="ctr"/>
        <c:lblOffset val="100"/>
        <c:noMultiLvlLbl val="0"/>
      </c:catAx>
      <c:valAx>
        <c:axId val="535014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014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438149</xdr:colOff>
      <xdr:row>61</xdr:row>
      <xdr:rowOff>171449</xdr:rowOff>
    </xdr:from>
    <xdr:to>
      <xdr:col>18</xdr:col>
      <xdr:colOff>463826</xdr:colOff>
      <xdr:row>92</xdr:row>
      <xdr:rowOff>115957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441261-439B-1360-AB3C-72D4DB7DD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1671E-499B-4A59-B29A-F8EFACDC7AC9}">
  <dimension ref="B1:S62"/>
  <sheetViews>
    <sheetView tabSelected="1" topLeftCell="C73" zoomScale="115" zoomScaleNormal="115" workbookViewId="0">
      <selection activeCell="P8" sqref="P8"/>
    </sheetView>
  </sheetViews>
  <sheetFormatPr defaultRowHeight="15" x14ac:dyDescent="0.25"/>
  <cols>
    <col min="11" max="11" width="10.28515625" customWidth="1"/>
  </cols>
  <sheetData>
    <row r="1" spans="2:19" x14ac:dyDescent="0.25">
      <c r="B1" t="s">
        <v>0</v>
      </c>
      <c r="C1" t="s">
        <v>4</v>
      </c>
      <c r="D1" t="s">
        <v>1</v>
      </c>
      <c r="E1" t="s">
        <v>5</v>
      </c>
      <c r="F1" t="s">
        <v>6</v>
      </c>
      <c r="G1" t="s">
        <v>8</v>
      </c>
      <c r="H1" t="s">
        <v>7</v>
      </c>
      <c r="I1" t="s">
        <v>9</v>
      </c>
      <c r="J1" t="s">
        <v>10</v>
      </c>
      <c r="K1" t="s">
        <v>2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</v>
      </c>
      <c r="S1" t="s">
        <v>1</v>
      </c>
    </row>
    <row r="2" spans="2:19" x14ac:dyDescent="0.25">
      <c r="B2">
        <f>R2</f>
        <v>1</v>
      </c>
      <c r="C2">
        <f>D2*0.746</f>
        <v>2486.666666666667</v>
      </c>
      <c r="D2">
        <f>((K2/12) * R2)</f>
        <v>3333.3333333333335</v>
      </c>
      <c r="E2">
        <f>((L2/12) * $R2)</f>
        <v>3333.3333333333335</v>
      </c>
      <c r="F2">
        <f>((M2/12) * $R2)</f>
        <v>3500</v>
      </c>
      <c r="G2">
        <f>((N2/12) * $R2)</f>
        <v>3675</v>
      </c>
      <c r="H2">
        <f>((O2/12) * $R2)</f>
        <v>3858.75</v>
      </c>
      <c r="I2">
        <f>((P2/12) * $R2)</f>
        <v>4051.6875</v>
      </c>
      <c r="J2">
        <f>((Q2/12) * $R2)</f>
        <v>4254.2718749999995</v>
      </c>
      <c r="K2">
        <v>40000</v>
      </c>
      <c r="L2">
        <v>40000</v>
      </c>
      <c r="M2">
        <v>42000</v>
      </c>
      <c r="N2">
        <v>44100</v>
      </c>
      <c r="O2">
        <v>46305</v>
      </c>
      <c r="P2">
        <v>48620.25</v>
      </c>
      <c r="Q2" s="1">
        <v>51051.262499999997</v>
      </c>
      <c r="R2">
        <v>1</v>
      </c>
      <c r="S2">
        <f>2021 + INT((R2 - 1)/12)</f>
        <v>2021</v>
      </c>
    </row>
    <row r="3" spans="2:19" x14ac:dyDescent="0.25">
      <c r="B3">
        <f>R3</f>
        <v>2</v>
      </c>
      <c r="C3">
        <f>D3*0.746</f>
        <v>4973.3333333333339</v>
      </c>
      <c r="D3">
        <f>((K3/12) + D2)</f>
        <v>6666.666666666667</v>
      </c>
      <c r="E3">
        <f>((L3/12) + E2)</f>
        <v>6666.666666666667</v>
      </c>
      <c r="F3">
        <f>((M3/12) + F2)</f>
        <v>7000</v>
      </c>
      <c r="G3">
        <f>((N3/12) + G2)</f>
        <v>7350</v>
      </c>
      <c r="H3">
        <f>((O3/12) + H2)</f>
        <v>7717.5</v>
      </c>
      <c r="I3">
        <f>((P3/12) + I2)</f>
        <v>8103.375</v>
      </c>
      <c r="J3">
        <f>((Q3/12) + J2)</f>
        <v>8508.5437499999989</v>
      </c>
      <c r="K3">
        <v>40000</v>
      </c>
      <c r="L3">
        <v>40000</v>
      </c>
      <c r="M3">
        <v>42000</v>
      </c>
      <c r="N3">
        <v>44100</v>
      </c>
      <c r="O3">
        <v>46305</v>
      </c>
      <c r="P3">
        <v>48620.25</v>
      </c>
      <c r="Q3" s="1">
        <v>51051.262499999997</v>
      </c>
      <c r="R3">
        <v>2</v>
      </c>
      <c r="S3">
        <f>2021 + INT((R3 - 1)/12)</f>
        <v>2021</v>
      </c>
    </row>
    <row r="4" spans="2:19" x14ac:dyDescent="0.25">
      <c r="B4">
        <f>R4</f>
        <v>3</v>
      </c>
      <c r="C4">
        <f>D4*0.746</f>
        <v>7460</v>
      </c>
      <c r="D4">
        <f>((K4/12) + D3)</f>
        <v>10000</v>
      </c>
      <c r="E4">
        <f>((L4/12) + E3)</f>
        <v>10000</v>
      </c>
      <c r="F4">
        <f>((M4/12) + F3)</f>
        <v>10500</v>
      </c>
      <c r="G4">
        <f>((N4/12) + G3)</f>
        <v>11025</v>
      </c>
      <c r="H4">
        <f>((O4/12) + H3)</f>
        <v>11576.25</v>
      </c>
      <c r="I4">
        <f>((P4/12) + I3)</f>
        <v>12155.0625</v>
      </c>
      <c r="J4">
        <f>((Q4/12) + J3)</f>
        <v>12762.815624999999</v>
      </c>
      <c r="K4">
        <v>40000</v>
      </c>
      <c r="L4">
        <v>40000</v>
      </c>
      <c r="M4">
        <v>42000</v>
      </c>
      <c r="N4">
        <v>44100</v>
      </c>
      <c r="O4">
        <v>46305</v>
      </c>
      <c r="P4">
        <v>48620.25</v>
      </c>
      <c r="Q4" s="1">
        <v>51051.262499999997</v>
      </c>
      <c r="R4">
        <v>3</v>
      </c>
      <c r="S4">
        <f>2021 + INT((R4 - 1)/12)</f>
        <v>2021</v>
      </c>
    </row>
    <row r="5" spans="2:19" x14ac:dyDescent="0.25">
      <c r="B5">
        <f>R5</f>
        <v>4</v>
      </c>
      <c r="C5">
        <f>D5*0.746</f>
        <v>9946.6666666666679</v>
      </c>
      <c r="D5">
        <f>((K5/12) + D4)</f>
        <v>13333.333333333334</v>
      </c>
      <c r="E5">
        <f>((L5/12) + E4)</f>
        <v>13333.333333333334</v>
      </c>
      <c r="F5">
        <f>((M5/12) + F4)</f>
        <v>14000</v>
      </c>
      <c r="G5">
        <f>((N5/12) + G4)</f>
        <v>14700</v>
      </c>
      <c r="H5">
        <f>((O5/12) + H4)</f>
        <v>15435</v>
      </c>
      <c r="I5">
        <f>((P5/12) + I4)</f>
        <v>16206.75</v>
      </c>
      <c r="J5">
        <f>((Q5/12) + J4)</f>
        <v>17017.087499999998</v>
      </c>
      <c r="K5">
        <v>40000</v>
      </c>
      <c r="L5">
        <v>40000</v>
      </c>
      <c r="M5">
        <v>42000</v>
      </c>
      <c r="N5">
        <v>44100</v>
      </c>
      <c r="O5">
        <v>46305</v>
      </c>
      <c r="P5">
        <v>48620.25</v>
      </c>
      <c r="Q5" s="1">
        <v>51051.262499999997</v>
      </c>
      <c r="R5">
        <v>4</v>
      </c>
      <c r="S5">
        <f>2021 + INT((R5 - 1)/12)</f>
        <v>2021</v>
      </c>
    </row>
    <row r="6" spans="2:19" x14ac:dyDescent="0.25">
      <c r="B6">
        <f>R6</f>
        <v>5</v>
      </c>
      <c r="C6">
        <f>D6*0.746</f>
        <v>12433.333333333334</v>
      </c>
      <c r="D6">
        <f>((K6/12) + D5)</f>
        <v>16666.666666666668</v>
      </c>
      <c r="E6">
        <f>((L6/12) + E5)</f>
        <v>16666.666666666668</v>
      </c>
      <c r="F6">
        <f>((M6/12) + F5)</f>
        <v>17500</v>
      </c>
      <c r="G6">
        <f>((N6/12) + G5)</f>
        <v>18375</v>
      </c>
      <c r="H6">
        <f>((O6/12) + H5)</f>
        <v>19293.75</v>
      </c>
      <c r="I6">
        <f>((P6/12) + I5)</f>
        <v>20258.4375</v>
      </c>
      <c r="J6">
        <f>((Q6/12) + J5)</f>
        <v>21271.359374999996</v>
      </c>
      <c r="K6">
        <v>40000</v>
      </c>
      <c r="L6">
        <v>40000</v>
      </c>
      <c r="M6">
        <v>42000</v>
      </c>
      <c r="N6">
        <v>44100</v>
      </c>
      <c r="O6">
        <v>46305</v>
      </c>
      <c r="P6">
        <v>48620.25</v>
      </c>
      <c r="Q6" s="1">
        <v>51051.262499999997</v>
      </c>
      <c r="R6">
        <v>5</v>
      </c>
      <c r="S6">
        <f>2021 + INT((R6 - 1)/12)</f>
        <v>2021</v>
      </c>
    </row>
    <row r="7" spans="2:19" x14ac:dyDescent="0.25">
      <c r="B7">
        <f>R7</f>
        <v>6</v>
      </c>
      <c r="C7">
        <f>D7*0.746</f>
        <v>15044.333333333334</v>
      </c>
      <c r="D7">
        <f>((K7/12) + D6)</f>
        <v>20166.666666666668</v>
      </c>
      <c r="E7">
        <f>((L7/12) + E6)</f>
        <v>20000</v>
      </c>
      <c r="F7">
        <f>((M7/12) + F6)</f>
        <v>21000</v>
      </c>
      <c r="G7">
        <f>((N7/12) + G6)</f>
        <v>22050</v>
      </c>
      <c r="H7">
        <f>((O7/12) + H6)</f>
        <v>23152.5</v>
      </c>
      <c r="I7">
        <f>((P7/12) + I6)</f>
        <v>24310.125</v>
      </c>
      <c r="J7">
        <f>((Q7/12) + J6)</f>
        <v>25525.631249999995</v>
      </c>
      <c r="K7">
        <v>42000</v>
      </c>
      <c r="L7">
        <v>40000</v>
      </c>
      <c r="M7">
        <v>42000</v>
      </c>
      <c r="N7">
        <v>44100</v>
      </c>
      <c r="O7">
        <v>46305</v>
      </c>
      <c r="P7">
        <v>48620.25</v>
      </c>
      <c r="Q7" s="1">
        <v>51051.262499999997</v>
      </c>
      <c r="R7">
        <v>6</v>
      </c>
      <c r="S7">
        <f>2021 + INT((R7 - 1)/12)</f>
        <v>2021</v>
      </c>
    </row>
    <row r="8" spans="2:19" x14ac:dyDescent="0.25">
      <c r="B8">
        <f>R8</f>
        <v>7</v>
      </c>
      <c r="C8">
        <f>D8*0.746</f>
        <v>17655.333333333336</v>
      </c>
      <c r="D8">
        <f>((K8/12) + D7)</f>
        <v>23666.666666666668</v>
      </c>
      <c r="E8">
        <f>((L8/12) + E7)</f>
        <v>23333.333333333332</v>
      </c>
      <c r="F8">
        <f>((M8/12) + F7)</f>
        <v>24500</v>
      </c>
      <c r="G8">
        <f>((N8/12) + G7)</f>
        <v>25725</v>
      </c>
      <c r="H8">
        <f>((O8/12) + H7)</f>
        <v>27011.25</v>
      </c>
      <c r="I8">
        <f>((P8/12) + I7)</f>
        <v>28361.8125</v>
      </c>
      <c r="J8">
        <f>((Q8/12) + J7)</f>
        <v>29779.903124999993</v>
      </c>
      <c r="K8">
        <v>42000</v>
      </c>
      <c r="L8">
        <v>40000</v>
      </c>
      <c r="M8">
        <v>42000</v>
      </c>
      <c r="N8">
        <v>44100</v>
      </c>
      <c r="O8">
        <v>46305</v>
      </c>
      <c r="P8">
        <v>48620.25</v>
      </c>
      <c r="Q8" s="1">
        <v>51051.262499999997</v>
      </c>
      <c r="R8">
        <v>7</v>
      </c>
      <c r="S8">
        <f>2021 + INT((R8 - 1)/12)</f>
        <v>2021</v>
      </c>
    </row>
    <row r="9" spans="2:19" x14ac:dyDescent="0.25">
      <c r="B9">
        <f>R9</f>
        <v>8</v>
      </c>
      <c r="C9">
        <f>D9*0.746</f>
        <v>20266.333333333336</v>
      </c>
      <c r="D9">
        <f>((K9/12) + D8)</f>
        <v>27166.666666666668</v>
      </c>
      <c r="E9">
        <f>((L9/12) + E8)</f>
        <v>26666.666666666664</v>
      </c>
      <c r="F9">
        <f>((M9/12) + F8)</f>
        <v>28000</v>
      </c>
      <c r="G9">
        <f>((N9/12) + G8)</f>
        <v>29400</v>
      </c>
      <c r="H9">
        <f>((O9/12) + H8)</f>
        <v>30870</v>
      </c>
      <c r="I9">
        <f>((P9/12) + I8)</f>
        <v>32413.5</v>
      </c>
      <c r="J9">
        <f>((Q9/12) + J8)</f>
        <v>34034.174999999996</v>
      </c>
      <c r="K9">
        <v>42000</v>
      </c>
      <c r="L9">
        <v>40000</v>
      </c>
      <c r="M9">
        <v>42000</v>
      </c>
      <c r="N9">
        <v>44100</v>
      </c>
      <c r="O9">
        <v>46305</v>
      </c>
      <c r="P9">
        <v>48620.25</v>
      </c>
      <c r="Q9" s="1">
        <v>51051.262499999997</v>
      </c>
      <c r="R9">
        <v>8</v>
      </c>
      <c r="S9">
        <f>2021 + INT((R9 - 1)/12)</f>
        <v>2021</v>
      </c>
    </row>
    <row r="10" spans="2:19" x14ac:dyDescent="0.25">
      <c r="B10">
        <f>R10</f>
        <v>9</v>
      </c>
      <c r="C10">
        <f>D10*0.746</f>
        <v>22877.333333333336</v>
      </c>
      <c r="D10">
        <f>((K10/12) + D9)</f>
        <v>30666.666666666668</v>
      </c>
      <c r="E10">
        <f>((L10/12) + E9)</f>
        <v>29999.999999999996</v>
      </c>
      <c r="F10">
        <f>((M10/12) + F9)</f>
        <v>31500</v>
      </c>
      <c r="G10">
        <f>((N10/12) + G9)</f>
        <v>33075</v>
      </c>
      <c r="H10">
        <f>((O10/12) + H9)</f>
        <v>34728.75</v>
      </c>
      <c r="I10">
        <f>((P10/12) + I9)</f>
        <v>36465.1875</v>
      </c>
      <c r="J10">
        <f>((Q10/12) + J9)</f>
        <v>38288.446874999994</v>
      </c>
      <c r="K10">
        <v>42000</v>
      </c>
      <c r="L10">
        <v>40000</v>
      </c>
      <c r="M10">
        <v>42000</v>
      </c>
      <c r="N10">
        <v>44100</v>
      </c>
      <c r="O10">
        <v>46305</v>
      </c>
      <c r="P10">
        <v>48620.25</v>
      </c>
      <c r="Q10" s="1">
        <v>51051.262499999997</v>
      </c>
      <c r="R10">
        <v>9</v>
      </c>
      <c r="S10">
        <f>2021 + INT((R10 - 1)/12)</f>
        <v>2021</v>
      </c>
    </row>
    <row r="11" spans="2:19" x14ac:dyDescent="0.25">
      <c r="B11">
        <f>R11</f>
        <v>10</v>
      </c>
      <c r="C11">
        <f>D11*0.746</f>
        <v>25488.333333333336</v>
      </c>
      <c r="D11">
        <f>((K11/12) + D10)</f>
        <v>34166.666666666672</v>
      </c>
      <c r="E11">
        <f>((L11/12) + E10)</f>
        <v>33333.333333333328</v>
      </c>
      <c r="F11">
        <f>((M11/12) + F10)</f>
        <v>35000</v>
      </c>
      <c r="G11">
        <f>((N11/12) + G10)</f>
        <v>36750</v>
      </c>
      <c r="H11">
        <f>((O11/12) + H10)</f>
        <v>38587.5</v>
      </c>
      <c r="I11">
        <f>((P11/12) + I10)</f>
        <v>40516.875</v>
      </c>
      <c r="J11">
        <f>((Q11/12) + J10)</f>
        <v>42542.718749999993</v>
      </c>
      <c r="K11">
        <v>42000</v>
      </c>
      <c r="L11">
        <v>40000</v>
      </c>
      <c r="M11">
        <v>42000</v>
      </c>
      <c r="N11">
        <v>44100</v>
      </c>
      <c r="O11">
        <v>46305</v>
      </c>
      <c r="P11">
        <v>48620.25</v>
      </c>
      <c r="Q11" s="1">
        <v>51051.262499999997</v>
      </c>
      <c r="R11">
        <v>10</v>
      </c>
      <c r="S11">
        <f>2021 + INT((R11 - 1)/12)</f>
        <v>2021</v>
      </c>
    </row>
    <row r="12" spans="2:19" x14ac:dyDescent="0.25">
      <c r="B12">
        <f>R12</f>
        <v>11</v>
      </c>
      <c r="C12">
        <f>D12*0.746</f>
        <v>28099.333333333336</v>
      </c>
      <c r="D12">
        <f>((K12/12) + D11)</f>
        <v>37666.666666666672</v>
      </c>
      <c r="E12">
        <f>((L12/12) + E11)</f>
        <v>36666.666666666664</v>
      </c>
      <c r="F12">
        <f>((M12/12) + F11)</f>
        <v>38500</v>
      </c>
      <c r="G12">
        <f>((N12/12) + G11)</f>
        <v>40425</v>
      </c>
      <c r="H12">
        <f>((O12/12) + H11)</f>
        <v>42446.25</v>
      </c>
      <c r="I12">
        <f>((P12/12) + I11)</f>
        <v>44568.5625</v>
      </c>
      <c r="J12">
        <f>((Q12/12) + J11)</f>
        <v>46796.990624999991</v>
      </c>
      <c r="K12">
        <v>42000</v>
      </c>
      <c r="L12">
        <v>40000</v>
      </c>
      <c r="M12">
        <v>42000</v>
      </c>
      <c r="N12">
        <v>44100</v>
      </c>
      <c r="O12">
        <v>46305</v>
      </c>
      <c r="P12">
        <v>48620.25</v>
      </c>
      <c r="Q12" s="1">
        <v>51051.262499999997</v>
      </c>
      <c r="R12">
        <v>11</v>
      </c>
      <c r="S12">
        <f>2021 + INT((R12 - 1)/12)</f>
        <v>2021</v>
      </c>
    </row>
    <row r="13" spans="2:19" x14ac:dyDescent="0.25">
      <c r="B13">
        <f>R13</f>
        <v>12</v>
      </c>
      <c r="C13">
        <f>D13*0.746</f>
        <v>30710.333333333336</v>
      </c>
      <c r="D13">
        <f>((K13/12) + D12)</f>
        <v>41166.666666666672</v>
      </c>
      <c r="E13">
        <f>((L13/12) + E12)</f>
        <v>40000</v>
      </c>
      <c r="F13">
        <f>((M13/12) + F12)</f>
        <v>42000</v>
      </c>
      <c r="G13">
        <f>((N13/12) + G12)</f>
        <v>44100</v>
      </c>
      <c r="H13">
        <f>((O13/12) + H12)</f>
        <v>46305</v>
      </c>
      <c r="I13">
        <f>((P13/12) + I12)</f>
        <v>48620.25</v>
      </c>
      <c r="J13">
        <f>((Q13/12) + J12)</f>
        <v>51051.26249999999</v>
      </c>
      <c r="K13">
        <v>42000</v>
      </c>
      <c r="L13">
        <v>40000</v>
      </c>
      <c r="M13">
        <v>42000</v>
      </c>
      <c r="N13">
        <v>44100</v>
      </c>
      <c r="O13">
        <v>46305</v>
      </c>
      <c r="P13">
        <v>48620.25</v>
      </c>
      <c r="Q13" s="1">
        <v>51051.262499999997</v>
      </c>
      <c r="R13">
        <v>12</v>
      </c>
      <c r="S13">
        <f>2021 + INT((R13 - 1)/12)</f>
        <v>2021</v>
      </c>
    </row>
    <row r="14" spans="2:19" x14ac:dyDescent="0.25">
      <c r="B14">
        <f>R14</f>
        <v>13</v>
      </c>
      <c r="C14">
        <f>D14*0.746</f>
        <v>33451.883333333339</v>
      </c>
      <c r="D14">
        <f>((K14/12) + D13)</f>
        <v>44841.666666666672</v>
      </c>
      <c r="E14">
        <f>((L14/12) + E13)</f>
        <v>43333.333333333336</v>
      </c>
      <c r="F14">
        <f>((M14/12) + F13)</f>
        <v>45500</v>
      </c>
      <c r="G14">
        <f>((N14/12) + G13)</f>
        <v>47775</v>
      </c>
      <c r="H14">
        <f>((O14/12) + H13)</f>
        <v>50163.75</v>
      </c>
      <c r="I14">
        <f>((P14/12) + I13)</f>
        <v>52671.9375</v>
      </c>
      <c r="J14">
        <f>((Q14/12) + J13)</f>
        <v>55305.534374999988</v>
      </c>
      <c r="K14">
        <v>44100</v>
      </c>
      <c r="L14">
        <v>40000</v>
      </c>
      <c r="M14">
        <v>42000</v>
      </c>
      <c r="N14">
        <v>44100</v>
      </c>
      <c r="O14">
        <v>46305</v>
      </c>
      <c r="P14">
        <v>48620.25</v>
      </c>
      <c r="Q14" s="1">
        <v>51051.262499999997</v>
      </c>
      <c r="R14">
        <v>13</v>
      </c>
      <c r="S14">
        <f>2021 + INT((R14 - 1)/12)</f>
        <v>2022</v>
      </c>
    </row>
    <row r="15" spans="2:19" x14ac:dyDescent="0.25">
      <c r="B15">
        <f>R15</f>
        <v>14</v>
      </c>
      <c r="C15">
        <f>D15*0.746</f>
        <v>36193.433333333334</v>
      </c>
      <c r="D15">
        <f>((K15/12) + D14)</f>
        <v>48516.666666666672</v>
      </c>
      <c r="E15">
        <f>((L15/12) + E14)</f>
        <v>46666.666666666672</v>
      </c>
      <c r="F15">
        <f>((M15/12) + F14)</f>
        <v>49000</v>
      </c>
      <c r="G15">
        <f>((N15/12) + G14)</f>
        <v>51450</v>
      </c>
      <c r="H15">
        <f>((O15/12) + H14)</f>
        <v>54022.5</v>
      </c>
      <c r="I15">
        <f>((P15/12) + I14)</f>
        <v>56723.625</v>
      </c>
      <c r="J15">
        <f>((Q15/12) + J14)</f>
        <v>59559.806249999987</v>
      </c>
      <c r="K15">
        <v>44100</v>
      </c>
      <c r="L15">
        <v>40000</v>
      </c>
      <c r="M15">
        <v>42000</v>
      </c>
      <c r="N15">
        <v>44100</v>
      </c>
      <c r="O15">
        <v>46305</v>
      </c>
      <c r="P15">
        <v>48620.25</v>
      </c>
      <c r="Q15" s="1">
        <v>51051.262499999997</v>
      </c>
      <c r="R15">
        <v>14</v>
      </c>
      <c r="S15">
        <f>2021 + INT((R15 - 1)/12)</f>
        <v>2022</v>
      </c>
    </row>
    <row r="16" spans="2:19" x14ac:dyDescent="0.25">
      <c r="B16">
        <f>R16</f>
        <v>15</v>
      </c>
      <c r="C16">
        <f>D16*0.746</f>
        <v>38934.983333333337</v>
      </c>
      <c r="D16">
        <f>((K16/12) + D15)</f>
        <v>52191.666666666672</v>
      </c>
      <c r="E16">
        <f>((L16/12) + E15)</f>
        <v>50000.000000000007</v>
      </c>
      <c r="F16">
        <f>((M16/12) + F15)</f>
        <v>52500</v>
      </c>
      <c r="G16">
        <f>((N16/12) + G15)</f>
        <v>55125</v>
      </c>
      <c r="H16">
        <f>((O16/12) + H15)</f>
        <v>57881.25</v>
      </c>
      <c r="I16">
        <f>((P16/12) + I15)</f>
        <v>60775.3125</v>
      </c>
      <c r="J16">
        <f>((Q16/12) + J15)</f>
        <v>63814.078124999985</v>
      </c>
      <c r="K16">
        <v>44100</v>
      </c>
      <c r="L16">
        <v>40000</v>
      </c>
      <c r="M16">
        <v>42000</v>
      </c>
      <c r="N16">
        <v>44100</v>
      </c>
      <c r="O16">
        <v>46305</v>
      </c>
      <c r="P16">
        <v>48620.25</v>
      </c>
      <c r="Q16" s="1">
        <v>51051.262499999997</v>
      </c>
      <c r="R16">
        <v>15</v>
      </c>
      <c r="S16">
        <f>2021 + INT((R16 - 1)/12)</f>
        <v>2022</v>
      </c>
    </row>
    <row r="17" spans="2:19" x14ac:dyDescent="0.25">
      <c r="B17">
        <f>R17</f>
        <v>16</v>
      </c>
      <c r="C17">
        <f>D17*0.746</f>
        <v>41676.53333333334</v>
      </c>
      <c r="D17">
        <f>((K17/12) + D16)</f>
        <v>55866.666666666672</v>
      </c>
      <c r="E17">
        <f>((L17/12) + E16)</f>
        <v>53333.333333333343</v>
      </c>
      <c r="F17">
        <f>((M17/12) + F16)</f>
        <v>56000</v>
      </c>
      <c r="G17">
        <f>((N17/12) + G16)</f>
        <v>58800</v>
      </c>
      <c r="H17">
        <f>((O17/12) + H16)</f>
        <v>61740</v>
      </c>
      <c r="I17">
        <f>((P17/12) + I16)</f>
        <v>64827</v>
      </c>
      <c r="J17">
        <f>((Q17/12) + J16)</f>
        <v>68068.349999999991</v>
      </c>
      <c r="K17">
        <v>44100</v>
      </c>
      <c r="L17">
        <v>40000</v>
      </c>
      <c r="M17">
        <v>42000</v>
      </c>
      <c r="N17">
        <v>44100</v>
      </c>
      <c r="O17">
        <v>46305</v>
      </c>
      <c r="P17">
        <v>48620.25</v>
      </c>
      <c r="Q17" s="1">
        <v>51051.262499999997</v>
      </c>
      <c r="R17">
        <v>16</v>
      </c>
      <c r="S17">
        <f>2021 + INT((R17 - 1)/12)</f>
        <v>2022</v>
      </c>
    </row>
    <row r="18" spans="2:19" x14ac:dyDescent="0.25">
      <c r="B18">
        <f>R18</f>
        <v>17</v>
      </c>
      <c r="C18">
        <f>D18*0.746</f>
        <v>44418.083333333336</v>
      </c>
      <c r="D18">
        <f>((K18/12) + D17)</f>
        <v>59541.666666666672</v>
      </c>
      <c r="E18">
        <f>((L18/12) + E17)</f>
        <v>56666.666666666679</v>
      </c>
      <c r="F18">
        <f>((M18/12) + F17)</f>
        <v>59500</v>
      </c>
      <c r="G18">
        <f>((N18/12) + G17)</f>
        <v>62475</v>
      </c>
      <c r="H18">
        <f>((O18/12) + H17)</f>
        <v>65598.75</v>
      </c>
      <c r="I18">
        <f>((P18/12) + I17)</f>
        <v>68878.6875</v>
      </c>
      <c r="J18">
        <f>((Q18/12) + J17)</f>
        <v>72322.621874999997</v>
      </c>
      <c r="K18">
        <v>44100</v>
      </c>
      <c r="L18">
        <v>40000</v>
      </c>
      <c r="M18">
        <v>42000</v>
      </c>
      <c r="N18">
        <v>44100</v>
      </c>
      <c r="O18">
        <v>46305</v>
      </c>
      <c r="P18">
        <v>48620.25</v>
      </c>
      <c r="Q18" s="1">
        <v>51051.262499999997</v>
      </c>
      <c r="R18">
        <v>17</v>
      </c>
      <c r="S18">
        <f>2021 + INT((R18 - 1)/12)</f>
        <v>2022</v>
      </c>
    </row>
    <row r="19" spans="2:19" x14ac:dyDescent="0.25">
      <c r="B19">
        <f>R19</f>
        <v>18</v>
      </c>
      <c r="C19">
        <f>D19*0.746</f>
        <v>47159.633333333339</v>
      </c>
      <c r="D19">
        <f>((K19/12) + D18)</f>
        <v>63216.666666666672</v>
      </c>
      <c r="E19">
        <f>((L19/12) + E18)</f>
        <v>60000.000000000015</v>
      </c>
      <c r="F19">
        <f>((M19/12) + F18)</f>
        <v>63000</v>
      </c>
      <c r="G19">
        <f>((N19/12) + G18)</f>
        <v>66150</v>
      </c>
      <c r="H19">
        <f>((O19/12) + H18)</f>
        <v>69457.5</v>
      </c>
      <c r="I19">
        <f>((P19/12) + I18)</f>
        <v>72930.375</v>
      </c>
      <c r="J19">
        <f>((Q19/12) + J18)</f>
        <v>76576.893750000003</v>
      </c>
      <c r="K19">
        <v>44100</v>
      </c>
      <c r="L19">
        <v>40000</v>
      </c>
      <c r="M19">
        <v>42000</v>
      </c>
      <c r="N19">
        <v>44100</v>
      </c>
      <c r="O19">
        <v>46305</v>
      </c>
      <c r="P19">
        <v>48620.25</v>
      </c>
      <c r="Q19" s="1">
        <v>51051.262499999997</v>
      </c>
      <c r="R19">
        <v>18</v>
      </c>
      <c r="S19">
        <f>2021 + INT((R19 - 1)/12)</f>
        <v>2022</v>
      </c>
    </row>
    <row r="20" spans="2:19" x14ac:dyDescent="0.25">
      <c r="B20">
        <f>R20</f>
        <v>19</v>
      </c>
      <c r="C20">
        <f>D20*0.746</f>
        <v>49901.183333333334</v>
      </c>
      <c r="D20">
        <f>((K20/12) + D19)</f>
        <v>66891.666666666672</v>
      </c>
      <c r="E20">
        <f>((L20/12) + E19)</f>
        <v>63333.33333333335</v>
      </c>
      <c r="F20">
        <f>((M20/12) + F19)</f>
        <v>66500</v>
      </c>
      <c r="G20">
        <f>((N20/12) + G19)</f>
        <v>69825</v>
      </c>
      <c r="H20">
        <f>((O20/12) + H19)</f>
        <v>73316.25</v>
      </c>
      <c r="I20">
        <f>((P20/12) + I19)</f>
        <v>76982.0625</v>
      </c>
      <c r="J20">
        <f>((Q20/12) + J19)</f>
        <v>80831.165625000009</v>
      </c>
      <c r="K20">
        <v>44100</v>
      </c>
      <c r="L20">
        <v>40000</v>
      </c>
      <c r="M20">
        <v>42000</v>
      </c>
      <c r="N20">
        <v>44100</v>
      </c>
      <c r="O20">
        <v>46305</v>
      </c>
      <c r="P20">
        <v>48620.25</v>
      </c>
      <c r="Q20" s="1">
        <v>51051.262499999997</v>
      </c>
      <c r="R20">
        <v>19</v>
      </c>
      <c r="S20">
        <f>2021 + INT((R20 - 1)/12)</f>
        <v>2022</v>
      </c>
    </row>
    <row r="21" spans="2:19" x14ac:dyDescent="0.25">
      <c r="B21">
        <f>R21</f>
        <v>20</v>
      </c>
      <c r="C21">
        <f>D21*0.746</f>
        <v>52642.733333333337</v>
      </c>
      <c r="D21">
        <f>((K21/12) + D20)</f>
        <v>70566.666666666672</v>
      </c>
      <c r="E21">
        <f>((L21/12) + E20)</f>
        <v>66666.666666666686</v>
      </c>
      <c r="F21">
        <f>((M21/12) + F20)</f>
        <v>70000</v>
      </c>
      <c r="G21">
        <f>((N21/12) + G20)</f>
        <v>73500</v>
      </c>
      <c r="H21">
        <f>((O21/12) + H20)</f>
        <v>77175</v>
      </c>
      <c r="I21">
        <f>((P21/12) + I20)</f>
        <v>81033.75</v>
      </c>
      <c r="J21">
        <f>((Q21/12) + J20)</f>
        <v>85085.437500000015</v>
      </c>
      <c r="K21">
        <v>44100</v>
      </c>
      <c r="L21">
        <v>40000</v>
      </c>
      <c r="M21">
        <v>42000</v>
      </c>
      <c r="N21">
        <v>44100</v>
      </c>
      <c r="O21">
        <v>46305</v>
      </c>
      <c r="P21">
        <v>48620.25</v>
      </c>
      <c r="Q21" s="1">
        <v>51051.262499999997</v>
      </c>
      <c r="R21">
        <v>20</v>
      </c>
      <c r="S21">
        <f>2021 + INT((R21 - 1)/12)</f>
        <v>2022</v>
      </c>
    </row>
    <row r="22" spans="2:19" x14ac:dyDescent="0.25">
      <c r="B22">
        <f>R22</f>
        <v>21</v>
      </c>
      <c r="C22">
        <f>D22*0.746</f>
        <v>55384.28333333334</v>
      </c>
      <c r="D22">
        <f>((K22/12) + D21)</f>
        <v>74241.666666666672</v>
      </c>
      <c r="E22">
        <f>((L22/12) + E21)</f>
        <v>70000.000000000015</v>
      </c>
      <c r="F22">
        <f>((M22/12) + F21)</f>
        <v>73500</v>
      </c>
      <c r="G22">
        <f>((N22/12) + G21)</f>
        <v>77175</v>
      </c>
      <c r="H22">
        <f>((O22/12) + H21)</f>
        <v>81033.75</v>
      </c>
      <c r="I22">
        <f>((P22/12) + I21)</f>
        <v>85085.4375</v>
      </c>
      <c r="J22">
        <f>((Q22/12) + J21)</f>
        <v>89339.70937500002</v>
      </c>
      <c r="K22">
        <v>44100</v>
      </c>
      <c r="L22">
        <v>40000</v>
      </c>
      <c r="M22">
        <v>42000</v>
      </c>
      <c r="N22">
        <v>44100</v>
      </c>
      <c r="O22">
        <v>46305</v>
      </c>
      <c r="P22">
        <v>48620.25</v>
      </c>
      <c r="Q22" s="1">
        <v>51051.262499999997</v>
      </c>
      <c r="R22">
        <v>21</v>
      </c>
      <c r="S22">
        <f>2021 + INT((R22 - 1)/12)</f>
        <v>2022</v>
      </c>
    </row>
    <row r="23" spans="2:19" x14ac:dyDescent="0.25">
      <c r="B23">
        <f>R23</f>
        <v>22</v>
      </c>
      <c r="C23">
        <f>D23*0.746</f>
        <v>58125.833333333336</v>
      </c>
      <c r="D23">
        <f>((K23/12) + D22)</f>
        <v>77916.666666666672</v>
      </c>
      <c r="E23">
        <f>((L23/12) + E22)</f>
        <v>73333.333333333343</v>
      </c>
      <c r="F23">
        <f>((M23/12) + F22)</f>
        <v>77000</v>
      </c>
      <c r="G23">
        <f>((N23/12) + G22)</f>
        <v>80850</v>
      </c>
      <c r="H23">
        <f>((O23/12) + H22)</f>
        <v>84892.5</v>
      </c>
      <c r="I23">
        <f>((P23/12) + I22)</f>
        <v>89137.125</v>
      </c>
      <c r="J23">
        <f>((Q23/12) + J22)</f>
        <v>93593.981250000026</v>
      </c>
      <c r="K23">
        <v>44100</v>
      </c>
      <c r="L23">
        <v>40000</v>
      </c>
      <c r="M23">
        <v>42000</v>
      </c>
      <c r="N23">
        <v>44100</v>
      </c>
      <c r="O23">
        <v>46305</v>
      </c>
      <c r="P23">
        <v>48620.25</v>
      </c>
      <c r="Q23" s="1">
        <v>51051.262499999997</v>
      </c>
      <c r="R23">
        <v>22</v>
      </c>
      <c r="S23">
        <f>2021 + INT((R23 - 1)/12)</f>
        <v>2022</v>
      </c>
    </row>
    <row r="24" spans="2:19" x14ac:dyDescent="0.25">
      <c r="B24">
        <f>R24</f>
        <v>23</v>
      </c>
      <c r="C24">
        <f>D24*0.746</f>
        <v>60867.383333333339</v>
      </c>
      <c r="D24">
        <f>((K24/12) + D23)</f>
        <v>81591.666666666672</v>
      </c>
      <c r="E24">
        <f>((L24/12) + E23)</f>
        <v>76666.666666666672</v>
      </c>
      <c r="F24">
        <f>((M24/12) + F23)</f>
        <v>80500</v>
      </c>
      <c r="G24">
        <f>((N24/12) + G23)</f>
        <v>84525</v>
      </c>
      <c r="H24">
        <f>((O24/12) + H23)</f>
        <v>88751.25</v>
      </c>
      <c r="I24">
        <f>((P24/12) + I23)</f>
        <v>93188.8125</v>
      </c>
      <c r="J24">
        <f>((Q24/12) + J23)</f>
        <v>97848.253125000032</v>
      </c>
      <c r="K24">
        <v>44100</v>
      </c>
      <c r="L24">
        <v>40000</v>
      </c>
      <c r="M24">
        <v>42000</v>
      </c>
      <c r="N24">
        <v>44100</v>
      </c>
      <c r="O24">
        <v>46305</v>
      </c>
      <c r="P24">
        <v>48620.25</v>
      </c>
      <c r="Q24" s="1">
        <v>51051.262499999997</v>
      </c>
      <c r="R24">
        <v>23</v>
      </c>
      <c r="S24">
        <f>2021 + INT((R24 - 1)/12)</f>
        <v>2022</v>
      </c>
    </row>
    <row r="25" spans="2:19" x14ac:dyDescent="0.25">
      <c r="B25">
        <f>R25</f>
        <v>24</v>
      </c>
      <c r="C25">
        <f>D25*0.746</f>
        <v>63608.933333333334</v>
      </c>
      <c r="D25">
        <f>((K25/12) + D24)</f>
        <v>85266.666666666672</v>
      </c>
      <c r="E25">
        <f>((L25/12) + E24)</f>
        <v>80000</v>
      </c>
      <c r="F25">
        <f>((M25/12) + F24)</f>
        <v>84000</v>
      </c>
      <c r="G25">
        <f>((N25/12) + G24)</f>
        <v>88200</v>
      </c>
      <c r="H25">
        <f>((O25/12) + H24)</f>
        <v>92610</v>
      </c>
      <c r="I25">
        <f>((P25/12) + I24)</f>
        <v>97240.5</v>
      </c>
      <c r="J25">
        <f>((Q25/12) + J24)</f>
        <v>102102.52500000004</v>
      </c>
      <c r="K25">
        <v>44100</v>
      </c>
      <c r="L25">
        <v>40000</v>
      </c>
      <c r="M25">
        <v>42000</v>
      </c>
      <c r="N25">
        <v>44100</v>
      </c>
      <c r="O25">
        <v>46305</v>
      </c>
      <c r="P25">
        <v>48620.25</v>
      </c>
      <c r="Q25" s="1">
        <v>51051.262499999997</v>
      </c>
      <c r="R25">
        <v>24</v>
      </c>
      <c r="S25">
        <f>2021 + INT((R25 - 1)/12)</f>
        <v>2022</v>
      </c>
    </row>
    <row r="26" spans="2:19" x14ac:dyDescent="0.25">
      <c r="B26">
        <f>R26</f>
        <v>25</v>
      </c>
      <c r="C26">
        <f>D26*0.746</f>
        <v>66487.560833333337</v>
      </c>
      <c r="D26">
        <f>((K26/12) + D25)</f>
        <v>89125.416666666672</v>
      </c>
      <c r="E26">
        <f>((L26/12) + E25)</f>
        <v>83333.333333333328</v>
      </c>
      <c r="F26">
        <f>((M26/12) + F25)</f>
        <v>87500</v>
      </c>
      <c r="G26">
        <f>((N26/12) + G25)</f>
        <v>91875</v>
      </c>
      <c r="H26">
        <f>((O26/12) + H25)</f>
        <v>96468.75</v>
      </c>
      <c r="I26">
        <f>((P26/12) + I25)</f>
        <v>101292.1875</v>
      </c>
      <c r="J26">
        <f>((Q26/12) + J25)</f>
        <v>106356.79687500004</v>
      </c>
      <c r="K26">
        <v>46305</v>
      </c>
      <c r="L26">
        <v>40000</v>
      </c>
      <c r="M26">
        <v>42000</v>
      </c>
      <c r="N26">
        <v>44100</v>
      </c>
      <c r="O26">
        <v>46305</v>
      </c>
      <c r="P26">
        <v>48620.25</v>
      </c>
      <c r="Q26" s="1">
        <v>51051.262499999997</v>
      </c>
      <c r="R26">
        <v>25</v>
      </c>
      <c r="S26">
        <f>2021 + INT((R26 - 1)/12)</f>
        <v>2023</v>
      </c>
    </row>
    <row r="27" spans="2:19" x14ac:dyDescent="0.25">
      <c r="B27">
        <f>R27</f>
        <v>26</v>
      </c>
      <c r="C27">
        <f>D27*0.746</f>
        <v>69366.188333333339</v>
      </c>
      <c r="D27">
        <f>((K27/12) + D26)</f>
        <v>92984.166666666672</v>
      </c>
      <c r="E27">
        <f>((L27/12) + E26)</f>
        <v>86666.666666666657</v>
      </c>
      <c r="F27">
        <f>((M27/12) + F26)</f>
        <v>91000</v>
      </c>
      <c r="G27">
        <f>((N27/12) + G26)</f>
        <v>95550</v>
      </c>
      <c r="H27">
        <f>((O27/12) + H26)</f>
        <v>100327.5</v>
      </c>
      <c r="I27">
        <f>((P27/12) + I26)</f>
        <v>105343.875</v>
      </c>
      <c r="J27">
        <f>((Q27/12) + J26)</f>
        <v>110611.06875000005</v>
      </c>
      <c r="K27">
        <v>46305</v>
      </c>
      <c r="L27">
        <v>40000</v>
      </c>
      <c r="M27">
        <v>42000</v>
      </c>
      <c r="N27">
        <v>44100</v>
      </c>
      <c r="O27">
        <v>46305</v>
      </c>
      <c r="P27">
        <v>48620.25</v>
      </c>
      <c r="Q27" s="1">
        <v>51051.262499999997</v>
      </c>
      <c r="R27">
        <v>26</v>
      </c>
      <c r="S27">
        <f>2021 + INT((R27 - 1)/12)</f>
        <v>2023</v>
      </c>
    </row>
    <row r="28" spans="2:19" x14ac:dyDescent="0.25">
      <c r="B28">
        <f>R28</f>
        <v>27</v>
      </c>
      <c r="C28">
        <f>D28*0.746</f>
        <v>72244.815833333341</v>
      </c>
      <c r="D28">
        <f>((K28/12) + D27)</f>
        <v>96842.916666666672</v>
      </c>
      <c r="E28">
        <f>((L28/12) + E27)</f>
        <v>89999.999999999985</v>
      </c>
      <c r="F28">
        <f>((M28/12) + F27)</f>
        <v>94500</v>
      </c>
      <c r="G28">
        <f>((N28/12) + G27)</f>
        <v>99225</v>
      </c>
      <c r="H28">
        <f>((O28/12) + H27)</f>
        <v>104186.25</v>
      </c>
      <c r="I28">
        <f>((P28/12) + I27)</f>
        <v>109395.5625</v>
      </c>
      <c r="J28">
        <f>((Q28/12) + J27)</f>
        <v>114865.34062500006</v>
      </c>
      <c r="K28">
        <v>46305</v>
      </c>
      <c r="L28">
        <v>40000</v>
      </c>
      <c r="M28">
        <v>42000</v>
      </c>
      <c r="N28">
        <v>44100</v>
      </c>
      <c r="O28">
        <v>46305</v>
      </c>
      <c r="P28">
        <v>48620.25</v>
      </c>
      <c r="Q28" s="1">
        <v>51051.262499999997</v>
      </c>
      <c r="R28">
        <v>27</v>
      </c>
      <c r="S28">
        <f>2021 + INT((R28 - 1)/12)</f>
        <v>2023</v>
      </c>
    </row>
    <row r="29" spans="2:19" x14ac:dyDescent="0.25">
      <c r="B29">
        <f>R29</f>
        <v>28</v>
      </c>
      <c r="C29">
        <f>D29*0.746</f>
        <v>75123.443333333344</v>
      </c>
      <c r="D29">
        <f>((K29/12) + D28)</f>
        <v>100701.66666666667</v>
      </c>
      <c r="E29">
        <f>((L29/12) + E28)</f>
        <v>93333.333333333314</v>
      </c>
      <c r="F29">
        <f>((M29/12) + F28)</f>
        <v>98000</v>
      </c>
      <c r="G29">
        <f>((N29/12) + G28)</f>
        <v>102900</v>
      </c>
      <c r="H29">
        <f>((O29/12) + H28)</f>
        <v>108045</v>
      </c>
      <c r="I29">
        <f>((P29/12) + I28)</f>
        <v>113447.25</v>
      </c>
      <c r="J29">
        <f>((Q29/12) + J28)</f>
        <v>119119.61250000006</v>
      </c>
      <c r="K29">
        <v>46305</v>
      </c>
      <c r="L29">
        <v>40000</v>
      </c>
      <c r="M29">
        <v>42000</v>
      </c>
      <c r="N29">
        <v>44100</v>
      </c>
      <c r="O29">
        <v>46305</v>
      </c>
      <c r="P29">
        <v>48620.25</v>
      </c>
      <c r="Q29" s="1">
        <v>51051.262499999997</v>
      </c>
      <c r="R29">
        <v>28</v>
      </c>
      <c r="S29">
        <f>2021 + INT((R29 - 1)/12)</f>
        <v>2023</v>
      </c>
    </row>
    <row r="30" spans="2:19" x14ac:dyDescent="0.25">
      <c r="B30">
        <f>R30</f>
        <v>29</v>
      </c>
      <c r="C30">
        <f>D30*0.746</f>
        <v>78002.070833333331</v>
      </c>
      <c r="D30">
        <f>((K30/12) + D29)</f>
        <v>104560.41666666667</v>
      </c>
      <c r="E30">
        <f>((L30/12) + E29)</f>
        <v>96666.666666666642</v>
      </c>
      <c r="F30">
        <f>((M30/12) + F29)</f>
        <v>101500</v>
      </c>
      <c r="G30">
        <f>((N30/12) + G29)</f>
        <v>106575</v>
      </c>
      <c r="H30">
        <f>((O30/12) + H29)</f>
        <v>111903.75</v>
      </c>
      <c r="I30">
        <f>((P30/12) + I29)</f>
        <v>117498.9375</v>
      </c>
      <c r="J30">
        <f>((Q30/12) + J29)</f>
        <v>123373.88437500007</v>
      </c>
      <c r="K30">
        <v>46305</v>
      </c>
      <c r="L30">
        <v>40000</v>
      </c>
      <c r="M30">
        <v>42000</v>
      </c>
      <c r="N30">
        <v>44100</v>
      </c>
      <c r="O30">
        <v>46305</v>
      </c>
      <c r="P30">
        <v>48620.25</v>
      </c>
      <c r="Q30" s="1">
        <v>51051.262499999997</v>
      </c>
      <c r="R30">
        <v>29</v>
      </c>
      <c r="S30">
        <f>2021 + INT((R30 - 1)/12)</f>
        <v>2023</v>
      </c>
    </row>
    <row r="31" spans="2:19" x14ac:dyDescent="0.25">
      <c r="B31">
        <f>R31</f>
        <v>30</v>
      </c>
      <c r="C31">
        <f>D31*0.746</f>
        <v>80880.698333333334</v>
      </c>
      <c r="D31">
        <f>((K31/12) + D30)</f>
        <v>108419.16666666667</v>
      </c>
      <c r="E31">
        <f>((L31/12) + E30)</f>
        <v>99999.999999999971</v>
      </c>
      <c r="F31">
        <f>((M31/12) + F30)</f>
        <v>105000</v>
      </c>
      <c r="G31">
        <f>((N31/12) + G30)</f>
        <v>110250</v>
      </c>
      <c r="H31">
        <f>((O31/12) + H30)</f>
        <v>115762.5</v>
      </c>
      <c r="I31">
        <f>((P31/12) + I30)</f>
        <v>121550.625</v>
      </c>
      <c r="J31">
        <f>((Q31/12) + J30)</f>
        <v>127628.15625000007</v>
      </c>
      <c r="K31">
        <v>46305</v>
      </c>
      <c r="L31">
        <v>40000</v>
      </c>
      <c r="M31">
        <v>42000</v>
      </c>
      <c r="N31">
        <v>44100</v>
      </c>
      <c r="O31">
        <v>46305</v>
      </c>
      <c r="P31">
        <v>48620.25</v>
      </c>
      <c r="Q31" s="1">
        <v>51051.262499999997</v>
      </c>
      <c r="R31">
        <v>30</v>
      </c>
      <c r="S31">
        <f>2021 + INT((R31 - 1)/12)</f>
        <v>2023</v>
      </c>
    </row>
    <row r="32" spans="2:19" x14ac:dyDescent="0.25">
      <c r="B32">
        <f>R32</f>
        <v>31</v>
      </c>
      <c r="C32">
        <f>D32*0.746</f>
        <v>83759.325833333336</v>
      </c>
      <c r="D32">
        <f>((K32/12) + D31)</f>
        <v>112277.91666666667</v>
      </c>
      <c r="E32">
        <f>((L32/12) + E31)</f>
        <v>103333.3333333333</v>
      </c>
      <c r="F32">
        <f>((M32/12) + F31)</f>
        <v>108500</v>
      </c>
      <c r="G32">
        <f>((N32/12) + G31)</f>
        <v>113925</v>
      </c>
      <c r="H32">
        <f>((O32/12) + H31)</f>
        <v>119621.25</v>
      </c>
      <c r="I32">
        <f>((P32/12) + I31)</f>
        <v>125602.3125</v>
      </c>
      <c r="J32">
        <f>((Q32/12) + J31)</f>
        <v>131882.42812500006</v>
      </c>
      <c r="K32">
        <v>46305</v>
      </c>
      <c r="L32">
        <v>40000</v>
      </c>
      <c r="M32">
        <v>42000</v>
      </c>
      <c r="N32">
        <v>44100</v>
      </c>
      <c r="O32">
        <v>46305</v>
      </c>
      <c r="P32">
        <v>48620.25</v>
      </c>
      <c r="Q32" s="1">
        <v>51051.262499999997</v>
      </c>
      <c r="R32">
        <v>31</v>
      </c>
      <c r="S32">
        <f>2021 + INT((R32 - 1)/12)</f>
        <v>2023</v>
      </c>
    </row>
    <row r="33" spans="2:19" x14ac:dyDescent="0.25">
      <c r="B33">
        <f>R33</f>
        <v>32</v>
      </c>
      <c r="C33">
        <f>D33*0.746</f>
        <v>86637.953333333338</v>
      </c>
      <c r="D33">
        <f>((K33/12) + D32)</f>
        <v>116136.66666666667</v>
      </c>
      <c r="E33">
        <f>((L33/12) + E32)</f>
        <v>106666.66666666663</v>
      </c>
      <c r="F33">
        <f>((M33/12) + F32)</f>
        <v>112000</v>
      </c>
      <c r="G33">
        <f>((N33/12) + G32)</f>
        <v>117600</v>
      </c>
      <c r="H33">
        <f>((O33/12) + H32)</f>
        <v>123480</v>
      </c>
      <c r="I33">
        <f>((P33/12) + I32)</f>
        <v>129654</v>
      </c>
      <c r="J33">
        <f>((Q33/12) + J32)</f>
        <v>136136.70000000007</v>
      </c>
      <c r="K33">
        <v>46305</v>
      </c>
      <c r="L33">
        <v>40000</v>
      </c>
      <c r="M33">
        <v>42000</v>
      </c>
      <c r="N33">
        <v>44100</v>
      </c>
      <c r="O33">
        <v>46305</v>
      </c>
      <c r="P33">
        <v>48620.25</v>
      </c>
      <c r="Q33" s="1">
        <v>51051.262499999997</v>
      </c>
      <c r="R33">
        <v>32</v>
      </c>
      <c r="S33">
        <f>2021 + INT((R33 - 1)/12)</f>
        <v>2023</v>
      </c>
    </row>
    <row r="34" spans="2:19" x14ac:dyDescent="0.25">
      <c r="B34">
        <f>R34</f>
        <v>33</v>
      </c>
      <c r="C34">
        <f>D34*0.746</f>
        <v>89516.580833333341</v>
      </c>
      <c r="D34">
        <f>((K34/12) + D33)</f>
        <v>119995.41666666667</v>
      </c>
      <c r="E34">
        <f>((L34/12) + E33)</f>
        <v>109999.99999999996</v>
      </c>
      <c r="F34">
        <f>((M34/12) + F33)</f>
        <v>115500</v>
      </c>
      <c r="G34">
        <f>((N34/12) + G33)</f>
        <v>121275</v>
      </c>
      <c r="H34">
        <f>((O34/12) + H33)</f>
        <v>127338.75</v>
      </c>
      <c r="I34">
        <f>((P34/12) + I33)</f>
        <v>133705.6875</v>
      </c>
      <c r="J34">
        <f>((Q34/12) + J33)</f>
        <v>140390.97187500008</v>
      </c>
      <c r="K34">
        <v>46305</v>
      </c>
      <c r="L34">
        <v>40000</v>
      </c>
      <c r="M34">
        <v>42000</v>
      </c>
      <c r="N34">
        <v>44100</v>
      </c>
      <c r="O34">
        <v>46305</v>
      </c>
      <c r="P34">
        <v>48620.25</v>
      </c>
      <c r="Q34" s="1">
        <v>51051.262499999997</v>
      </c>
      <c r="R34">
        <v>33</v>
      </c>
      <c r="S34">
        <f>2021 + INT((R34 - 1)/12)</f>
        <v>2023</v>
      </c>
    </row>
    <row r="35" spans="2:19" x14ac:dyDescent="0.25">
      <c r="B35">
        <f>R35</f>
        <v>34</v>
      </c>
      <c r="C35">
        <f>D35*0.746</f>
        <v>92395.208333333343</v>
      </c>
      <c r="D35">
        <f>((K35/12) + D34)</f>
        <v>123854.16666666667</v>
      </c>
      <c r="E35">
        <f>((L35/12) + E34)</f>
        <v>113333.33333333328</v>
      </c>
      <c r="F35">
        <f>((M35/12) + F34)</f>
        <v>119000</v>
      </c>
      <c r="G35">
        <f>((N35/12) + G34)</f>
        <v>124950</v>
      </c>
      <c r="H35">
        <f>((O35/12) + H34)</f>
        <v>131197.5</v>
      </c>
      <c r="I35">
        <f>((P35/12) + I34)</f>
        <v>137757.375</v>
      </c>
      <c r="J35">
        <f>((Q35/12) + J34)</f>
        <v>144645.24375000008</v>
      </c>
      <c r="K35">
        <v>46305</v>
      </c>
      <c r="L35">
        <v>40000</v>
      </c>
      <c r="M35">
        <v>42000</v>
      </c>
      <c r="N35">
        <v>44100</v>
      </c>
      <c r="O35">
        <v>46305</v>
      </c>
      <c r="P35">
        <v>48620.25</v>
      </c>
      <c r="Q35" s="1">
        <v>51051.262499999997</v>
      </c>
      <c r="R35">
        <v>34</v>
      </c>
      <c r="S35">
        <f>2021 + INT((R35 - 1)/12)</f>
        <v>2023</v>
      </c>
    </row>
    <row r="36" spans="2:19" x14ac:dyDescent="0.25">
      <c r="B36">
        <f>R36</f>
        <v>35</v>
      </c>
      <c r="C36">
        <f>D36*0.746</f>
        <v>95273.835833333331</v>
      </c>
      <c r="D36">
        <f>((K36/12) + D35)</f>
        <v>127712.91666666667</v>
      </c>
      <c r="E36">
        <f>((L36/12) + E35)</f>
        <v>116666.66666666661</v>
      </c>
      <c r="F36">
        <f>((M36/12) + F35)</f>
        <v>122500</v>
      </c>
      <c r="G36">
        <f>((N36/12) + G35)</f>
        <v>128625</v>
      </c>
      <c r="H36">
        <f>((O36/12) + H35)</f>
        <v>135056.25</v>
      </c>
      <c r="I36">
        <f>((P36/12) + I35)</f>
        <v>141809.0625</v>
      </c>
      <c r="J36">
        <f>((Q36/12) + J35)</f>
        <v>148899.51562500009</v>
      </c>
      <c r="K36">
        <v>46305</v>
      </c>
      <c r="L36">
        <v>40000</v>
      </c>
      <c r="M36">
        <v>42000</v>
      </c>
      <c r="N36">
        <v>44100</v>
      </c>
      <c r="O36">
        <v>46305</v>
      </c>
      <c r="P36">
        <v>48620.25</v>
      </c>
      <c r="Q36" s="1">
        <v>51051.262499999997</v>
      </c>
      <c r="R36">
        <v>35</v>
      </c>
      <c r="S36">
        <f>2021 + INT((R36 - 1)/12)</f>
        <v>2023</v>
      </c>
    </row>
    <row r="37" spans="2:19" x14ac:dyDescent="0.25">
      <c r="B37">
        <f>R37</f>
        <v>36</v>
      </c>
      <c r="C37">
        <f>D37*0.746</f>
        <v>98152.463333333348</v>
      </c>
      <c r="D37">
        <f>((K37/12) + D36)</f>
        <v>131571.66666666669</v>
      </c>
      <c r="E37">
        <f>((L37/12) + E36)</f>
        <v>119999.99999999994</v>
      </c>
      <c r="F37">
        <f>((M37/12) + F36)</f>
        <v>126000</v>
      </c>
      <c r="G37">
        <f>((N37/12) + G36)</f>
        <v>132300</v>
      </c>
      <c r="H37">
        <f>((O37/12) + H36)</f>
        <v>138915</v>
      </c>
      <c r="I37">
        <f>((P37/12) + I36)</f>
        <v>145860.75</v>
      </c>
      <c r="J37">
        <f>((Q37/12) + J36)</f>
        <v>153153.78750000009</v>
      </c>
      <c r="K37">
        <v>46305</v>
      </c>
      <c r="L37">
        <v>40000</v>
      </c>
      <c r="M37">
        <v>42000</v>
      </c>
      <c r="N37">
        <v>44100</v>
      </c>
      <c r="O37">
        <v>46305</v>
      </c>
      <c r="P37">
        <v>48620.25</v>
      </c>
      <c r="Q37" s="1">
        <v>51051.262499999997</v>
      </c>
      <c r="R37">
        <v>36</v>
      </c>
      <c r="S37">
        <f>2021 + INT((R37 - 1)/12)</f>
        <v>2023</v>
      </c>
    </row>
    <row r="38" spans="2:19" x14ac:dyDescent="0.25">
      <c r="B38">
        <f>R38</f>
        <v>37</v>
      </c>
      <c r="C38">
        <f>D38*0.746</f>
        <v>101175.02220833335</v>
      </c>
      <c r="D38">
        <f>((K38/12) + D37)</f>
        <v>135623.35416666669</v>
      </c>
      <c r="E38">
        <f>((L38/12) + E37)</f>
        <v>123333.33333333327</v>
      </c>
      <c r="F38">
        <f>((M38/12) + F37)</f>
        <v>129500</v>
      </c>
      <c r="G38">
        <f>((N38/12) + G37)</f>
        <v>135975</v>
      </c>
      <c r="H38">
        <f>((O38/12) + H37)</f>
        <v>142773.75</v>
      </c>
      <c r="I38">
        <f>((P38/12) + I37)</f>
        <v>149912.4375</v>
      </c>
      <c r="J38">
        <f>((Q38/12) + J37)</f>
        <v>157408.0593750001</v>
      </c>
      <c r="K38">
        <v>48620.25</v>
      </c>
      <c r="L38">
        <v>40000</v>
      </c>
      <c r="M38">
        <v>42000</v>
      </c>
      <c r="N38">
        <v>44100</v>
      </c>
      <c r="O38">
        <v>46305</v>
      </c>
      <c r="P38">
        <v>48620.25</v>
      </c>
      <c r="Q38" s="1">
        <v>51051.262499999997</v>
      </c>
      <c r="R38">
        <v>37</v>
      </c>
      <c r="S38">
        <f>2021 + INT((R38 - 1)/12)</f>
        <v>2024</v>
      </c>
    </row>
    <row r="39" spans="2:19" x14ac:dyDescent="0.25">
      <c r="B39">
        <f>R39</f>
        <v>38</v>
      </c>
      <c r="C39">
        <f>D39*0.746</f>
        <v>104197.58108333335</v>
      </c>
      <c r="D39">
        <f>((K39/12) + D38)</f>
        <v>139675.04166666669</v>
      </c>
      <c r="E39">
        <f>((L39/12) + E38)</f>
        <v>126666.6666666666</v>
      </c>
      <c r="F39">
        <f>((M39/12) + F38)</f>
        <v>133000</v>
      </c>
      <c r="G39">
        <f>((N39/12) + G38)</f>
        <v>139650</v>
      </c>
      <c r="H39">
        <f>((O39/12) + H38)</f>
        <v>146632.5</v>
      </c>
      <c r="I39">
        <f>((P39/12) + I38)</f>
        <v>153964.125</v>
      </c>
      <c r="J39">
        <f>((Q39/12) + J38)</f>
        <v>161662.3312500001</v>
      </c>
      <c r="K39">
        <v>48620.25</v>
      </c>
      <c r="L39">
        <v>40000</v>
      </c>
      <c r="M39">
        <v>42000</v>
      </c>
      <c r="N39">
        <v>44100</v>
      </c>
      <c r="O39">
        <v>46305</v>
      </c>
      <c r="P39">
        <v>48620.25</v>
      </c>
      <c r="Q39" s="1">
        <v>51051.262499999997</v>
      </c>
      <c r="R39">
        <v>38</v>
      </c>
      <c r="S39">
        <f>2021 + INT((R39 - 1)/12)</f>
        <v>2024</v>
      </c>
    </row>
    <row r="40" spans="2:19" x14ac:dyDescent="0.25">
      <c r="B40">
        <f>R40</f>
        <v>39</v>
      </c>
      <c r="C40">
        <f>D40*0.746</f>
        <v>107220.13995833334</v>
      </c>
      <c r="D40">
        <f>((K40/12) + D39)</f>
        <v>143726.72916666669</v>
      </c>
      <c r="E40">
        <f>((L40/12) + E39)</f>
        <v>129999.99999999993</v>
      </c>
      <c r="F40">
        <f>((M40/12) + F39)</f>
        <v>136500</v>
      </c>
      <c r="G40">
        <f>((N40/12) + G39)</f>
        <v>143325</v>
      </c>
      <c r="H40">
        <f>((O40/12) + H39)</f>
        <v>150491.25</v>
      </c>
      <c r="I40">
        <f>((P40/12) + I39)</f>
        <v>158015.8125</v>
      </c>
      <c r="J40">
        <f>((Q40/12) + J39)</f>
        <v>165916.60312500011</v>
      </c>
      <c r="K40">
        <v>48620.25</v>
      </c>
      <c r="L40">
        <v>40000</v>
      </c>
      <c r="M40">
        <v>42000</v>
      </c>
      <c r="N40">
        <v>44100</v>
      </c>
      <c r="O40">
        <v>46305</v>
      </c>
      <c r="P40">
        <v>48620.25</v>
      </c>
      <c r="Q40" s="1">
        <v>51051.262499999997</v>
      </c>
      <c r="R40">
        <v>39</v>
      </c>
      <c r="S40">
        <f>2021 + INT((R40 - 1)/12)</f>
        <v>2024</v>
      </c>
    </row>
    <row r="41" spans="2:19" x14ac:dyDescent="0.25">
      <c r="B41">
        <f>R41</f>
        <v>40</v>
      </c>
      <c r="C41">
        <f>D41*0.746</f>
        <v>110242.69883333334</v>
      </c>
      <c r="D41">
        <f>((K41/12) + D40)</f>
        <v>147778.41666666669</v>
      </c>
      <c r="E41">
        <f>((L41/12) + E40)</f>
        <v>133333.33333333326</v>
      </c>
      <c r="F41">
        <f>((M41/12) + F40)</f>
        <v>140000</v>
      </c>
      <c r="G41">
        <f>((N41/12) + G40)</f>
        <v>147000</v>
      </c>
      <c r="H41">
        <f>((O41/12) + H40)</f>
        <v>154350</v>
      </c>
      <c r="I41">
        <f>((P41/12) + I40)</f>
        <v>162067.5</v>
      </c>
      <c r="J41">
        <f>((Q41/12) + J40)</f>
        <v>170170.87500000012</v>
      </c>
      <c r="K41">
        <v>48620.25</v>
      </c>
      <c r="L41">
        <v>40000</v>
      </c>
      <c r="M41">
        <v>42000</v>
      </c>
      <c r="N41">
        <v>44100</v>
      </c>
      <c r="O41">
        <v>46305</v>
      </c>
      <c r="P41">
        <v>48620.25</v>
      </c>
      <c r="Q41" s="1">
        <v>51051.262499999997</v>
      </c>
      <c r="R41">
        <v>40</v>
      </c>
      <c r="S41">
        <f>2021 + INT((R41 - 1)/12)</f>
        <v>2024</v>
      </c>
    </row>
    <row r="42" spans="2:19" x14ac:dyDescent="0.25">
      <c r="B42">
        <f>R42</f>
        <v>41</v>
      </c>
      <c r="C42">
        <f>D42*0.746</f>
        <v>113265.25770833335</v>
      </c>
      <c r="D42">
        <f>((K42/12) + D41)</f>
        <v>151830.10416666669</v>
      </c>
      <c r="E42">
        <f>((L42/12) + E41)</f>
        <v>136666.6666666666</v>
      </c>
      <c r="F42">
        <f>((M42/12) + F41)</f>
        <v>143500</v>
      </c>
      <c r="G42">
        <f>((N42/12) + G41)</f>
        <v>150675</v>
      </c>
      <c r="H42">
        <f>((O42/12) + H41)</f>
        <v>158208.75</v>
      </c>
      <c r="I42">
        <f>((P42/12) + I41)</f>
        <v>166119.1875</v>
      </c>
      <c r="J42">
        <f>((Q42/12) + J41)</f>
        <v>174425.14687500012</v>
      </c>
      <c r="K42">
        <v>48620.25</v>
      </c>
      <c r="L42">
        <v>40000</v>
      </c>
      <c r="M42">
        <v>42000</v>
      </c>
      <c r="N42">
        <v>44100</v>
      </c>
      <c r="O42">
        <v>46305</v>
      </c>
      <c r="P42">
        <v>48620.25</v>
      </c>
      <c r="Q42" s="1">
        <v>51051.262499999997</v>
      </c>
      <c r="R42">
        <v>41</v>
      </c>
      <c r="S42">
        <f>2021 + INT((R42 - 1)/12)</f>
        <v>2024</v>
      </c>
    </row>
    <row r="43" spans="2:19" x14ac:dyDescent="0.25">
      <c r="B43">
        <f>R43</f>
        <v>42</v>
      </c>
      <c r="C43">
        <f>D43*0.746</f>
        <v>116287.81658333335</v>
      </c>
      <c r="D43">
        <f>((K43/12) + D42)</f>
        <v>155881.79166666669</v>
      </c>
      <c r="E43">
        <f>((L43/12) + E42)</f>
        <v>139999.99999999994</v>
      </c>
      <c r="F43">
        <f>((M43/12) + F42)</f>
        <v>147000</v>
      </c>
      <c r="G43">
        <f>((N43/12) + G42)</f>
        <v>154350</v>
      </c>
      <c r="H43">
        <f>((O43/12) + H42)</f>
        <v>162067.5</v>
      </c>
      <c r="I43">
        <f>((P43/12) + I42)</f>
        <v>170170.875</v>
      </c>
      <c r="J43">
        <f>((Q43/12) + J42)</f>
        <v>178679.41875000013</v>
      </c>
      <c r="K43">
        <v>48620.25</v>
      </c>
      <c r="L43">
        <v>40000</v>
      </c>
      <c r="M43">
        <v>42000</v>
      </c>
      <c r="N43">
        <v>44100</v>
      </c>
      <c r="O43">
        <v>46305</v>
      </c>
      <c r="P43">
        <v>48620.25</v>
      </c>
      <c r="Q43" s="1">
        <v>51051.262499999997</v>
      </c>
      <c r="R43">
        <v>42</v>
      </c>
      <c r="S43">
        <f>2021 + INT((R43 - 1)/12)</f>
        <v>2024</v>
      </c>
    </row>
    <row r="44" spans="2:19" x14ac:dyDescent="0.25">
      <c r="B44">
        <f>R44</f>
        <v>43</v>
      </c>
      <c r="C44">
        <f>D44*0.746</f>
        <v>119310.37545833335</v>
      </c>
      <c r="D44">
        <f>((K44/12) + D43)</f>
        <v>159933.47916666669</v>
      </c>
      <c r="E44">
        <f>((L44/12) + E43)</f>
        <v>143333.33333333328</v>
      </c>
      <c r="F44">
        <f>((M44/12) + F43)</f>
        <v>150500</v>
      </c>
      <c r="G44">
        <f>((N44/12) + G43)</f>
        <v>158025</v>
      </c>
      <c r="H44">
        <f>((O44/12) + H43)</f>
        <v>165926.25</v>
      </c>
      <c r="I44">
        <f>((P44/12) + I43)</f>
        <v>174222.5625</v>
      </c>
      <c r="J44">
        <f>((Q44/12) + J43)</f>
        <v>182933.69062500013</v>
      </c>
      <c r="K44">
        <v>48620.25</v>
      </c>
      <c r="L44">
        <v>40000</v>
      </c>
      <c r="M44">
        <v>42000</v>
      </c>
      <c r="N44">
        <v>44100</v>
      </c>
      <c r="O44">
        <v>46305</v>
      </c>
      <c r="P44">
        <v>48620.25</v>
      </c>
      <c r="Q44" s="1">
        <v>51051.262499999997</v>
      </c>
      <c r="R44">
        <v>43</v>
      </c>
      <c r="S44">
        <f>2021 + INT((R44 - 1)/12)</f>
        <v>2024</v>
      </c>
    </row>
    <row r="45" spans="2:19" x14ac:dyDescent="0.25">
      <c r="B45">
        <f>R45</f>
        <v>44</v>
      </c>
      <c r="C45">
        <f>D45*0.746</f>
        <v>122332.93433333335</v>
      </c>
      <c r="D45">
        <f>((K45/12) + D44)</f>
        <v>163985.16666666669</v>
      </c>
      <c r="E45">
        <f>((L45/12) + E44)</f>
        <v>146666.66666666663</v>
      </c>
      <c r="F45">
        <f>((M45/12) + F44)</f>
        <v>154000</v>
      </c>
      <c r="G45">
        <f>((N45/12) + G44)</f>
        <v>161700</v>
      </c>
      <c r="H45">
        <f>((O45/12) + H44)</f>
        <v>169785</v>
      </c>
      <c r="I45">
        <f>((P45/12) + I44)</f>
        <v>178274.25</v>
      </c>
      <c r="J45">
        <f>((Q45/12) + J44)</f>
        <v>187187.96250000014</v>
      </c>
      <c r="K45">
        <v>48620.25</v>
      </c>
      <c r="L45">
        <v>40000</v>
      </c>
      <c r="M45">
        <v>42000</v>
      </c>
      <c r="N45">
        <v>44100</v>
      </c>
      <c r="O45">
        <v>46305</v>
      </c>
      <c r="P45">
        <v>48620.25</v>
      </c>
      <c r="Q45" s="1">
        <v>51051.262499999997</v>
      </c>
      <c r="R45">
        <v>44</v>
      </c>
      <c r="S45">
        <f>2021 + INT((R45 - 1)/12)</f>
        <v>2024</v>
      </c>
    </row>
    <row r="46" spans="2:19" x14ac:dyDescent="0.25">
      <c r="B46">
        <f>R46</f>
        <v>45</v>
      </c>
      <c r="C46">
        <f>D46*0.746</f>
        <v>125355.49320833334</v>
      </c>
      <c r="D46">
        <f>((K46/12) + D45)</f>
        <v>168036.85416666669</v>
      </c>
      <c r="E46">
        <f>((L46/12) + E45)</f>
        <v>149999.99999999997</v>
      </c>
      <c r="F46">
        <f>((M46/12) + F45)</f>
        <v>157500</v>
      </c>
      <c r="G46">
        <f>((N46/12) + G45)</f>
        <v>165375</v>
      </c>
      <c r="H46">
        <f>((O46/12) + H45)</f>
        <v>173643.75</v>
      </c>
      <c r="I46">
        <f>((P46/12) + I45)</f>
        <v>182325.9375</v>
      </c>
      <c r="J46">
        <f>((Q46/12) + J45)</f>
        <v>191442.23437500015</v>
      </c>
      <c r="K46">
        <v>48620.25</v>
      </c>
      <c r="L46">
        <v>40000</v>
      </c>
      <c r="M46">
        <v>42000</v>
      </c>
      <c r="N46">
        <v>44100</v>
      </c>
      <c r="O46">
        <v>46305</v>
      </c>
      <c r="P46">
        <v>48620.25</v>
      </c>
      <c r="Q46" s="1">
        <v>51051.262499999997</v>
      </c>
      <c r="R46">
        <v>45</v>
      </c>
      <c r="S46">
        <f>2021 + INT((R46 - 1)/12)</f>
        <v>2024</v>
      </c>
    </row>
    <row r="47" spans="2:19" x14ac:dyDescent="0.25">
      <c r="B47">
        <f>R47</f>
        <v>46</v>
      </c>
      <c r="C47">
        <f>D47*0.746</f>
        <v>128378.05208333334</v>
      </c>
      <c r="D47">
        <f>((K47/12) + D46)</f>
        <v>172088.54166666669</v>
      </c>
      <c r="E47">
        <f>((L47/12) + E46)</f>
        <v>153333.33333333331</v>
      </c>
      <c r="F47">
        <f>((M47/12) + F46)</f>
        <v>161000</v>
      </c>
      <c r="G47">
        <f>((N47/12) + G46)</f>
        <v>169050</v>
      </c>
      <c r="H47">
        <f>((O47/12) + H46)</f>
        <v>177502.5</v>
      </c>
      <c r="I47">
        <f>((P47/12) + I46)</f>
        <v>186377.625</v>
      </c>
      <c r="J47">
        <f>((Q47/12) + J46)</f>
        <v>195696.50625000015</v>
      </c>
      <c r="K47">
        <v>48620.25</v>
      </c>
      <c r="L47">
        <v>40000</v>
      </c>
      <c r="M47">
        <v>42000</v>
      </c>
      <c r="N47">
        <v>44100</v>
      </c>
      <c r="O47">
        <v>46305</v>
      </c>
      <c r="P47">
        <v>48620.25</v>
      </c>
      <c r="Q47" s="1">
        <v>51051.262499999997</v>
      </c>
      <c r="R47">
        <v>46</v>
      </c>
      <c r="S47">
        <f>2021 + INT((R47 - 1)/12)</f>
        <v>2024</v>
      </c>
    </row>
    <row r="48" spans="2:19" x14ac:dyDescent="0.25">
      <c r="B48">
        <f>R48</f>
        <v>47</v>
      </c>
      <c r="C48">
        <f>D48*0.746</f>
        <v>131400.61095833336</v>
      </c>
      <c r="D48">
        <f>((K48/12) + D47)</f>
        <v>176140.22916666669</v>
      </c>
      <c r="E48">
        <f>((L48/12) + E47)</f>
        <v>156666.66666666666</v>
      </c>
      <c r="F48">
        <f>((M48/12) + F47)</f>
        <v>164500</v>
      </c>
      <c r="G48">
        <f>((N48/12) + G47)</f>
        <v>172725</v>
      </c>
      <c r="H48">
        <f>((O48/12) + H47)</f>
        <v>181361.25</v>
      </c>
      <c r="I48">
        <f>((P48/12) + I47)</f>
        <v>190429.3125</v>
      </c>
      <c r="J48">
        <f>((Q48/12) + J47)</f>
        <v>199950.77812500016</v>
      </c>
      <c r="K48">
        <v>48620.25</v>
      </c>
      <c r="L48">
        <v>40000</v>
      </c>
      <c r="M48">
        <v>42000</v>
      </c>
      <c r="N48">
        <v>44100</v>
      </c>
      <c r="O48">
        <v>46305</v>
      </c>
      <c r="P48">
        <v>48620.25</v>
      </c>
      <c r="Q48" s="1">
        <v>51051.262499999997</v>
      </c>
      <c r="R48">
        <v>47</v>
      </c>
      <c r="S48">
        <f>2021 + INT((R48 - 1)/12)</f>
        <v>2024</v>
      </c>
    </row>
    <row r="49" spans="2:19" x14ac:dyDescent="0.25">
      <c r="B49">
        <f>R49</f>
        <v>48</v>
      </c>
      <c r="C49">
        <f>D49*0.746</f>
        <v>134423.16983333335</v>
      </c>
      <c r="D49">
        <f>((K49/12) + D48)</f>
        <v>180191.91666666669</v>
      </c>
      <c r="E49">
        <f>((L49/12) + E48)</f>
        <v>160000</v>
      </c>
      <c r="F49">
        <f>((M49/12) + F48)</f>
        <v>168000</v>
      </c>
      <c r="G49">
        <f>((N49/12) + G48)</f>
        <v>176400</v>
      </c>
      <c r="H49">
        <f>((O49/12) + H48)</f>
        <v>185220</v>
      </c>
      <c r="I49">
        <f>((P49/12) + I48)</f>
        <v>194481</v>
      </c>
      <c r="J49">
        <f>((Q49/12) + J48)</f>
        <v>204205.05000000016</v>
      </c>
      <c r="K49">
        <v>48620.25</v>
      </c>
      <c r="L49">
        <v>40000</v>
      </c>
      <c r="M49">
        <v>42000</v>
      </c>
      <c r="N49">
        <v>44100</v>
      </c>
      <c r="O49">
        <v>46305</v>
      </c>
      <c r="P49">
        <v>48620.25</v>
      </c>
      <c r="Q49" s="1">
        <v>51051.262499999997</v>
      </c>
      <c r="R49">
        <v>48</v>
      </c>
      <c r="S49">
        <f>2021 + INT((R49 - 1)/12)</f>
        <v>2024</v>
      </c>
    </row>
    <row r="50" spans="2:19" x14ac:dyDescent="0.25">
      <c r="B50">
        <f>R50</f>
        <v>49</v>
      </c>
      <c r="C50">
        <f>D50*0.746</f>
        <v>137596.85665208334</v>
      </c>
      <c r="D50">
        <f>((K50/12) + D49)</f>
        <v>184446.18854166669</v>
      </c>
      <c r="E50">
        <f>((L50/12) + E49)</f>
        <v>163333.33333333334</v>
      </c>
      <c r="F50">
        <f>((M50/12) + F49)</f>
        <v>171500</v>
      </c>
      <c r="G50">
        <f>((N50/12) + G49)</f>
        <v>180075</v>
      </c>
      <c r="H50">
        <f>((O50/12) + H49)</f>
        <v>189078.75</v>
      </c>
      <c r="I50">
        <f>((P50/12) + I49)</f>
        <v>198532.6875</v>
      </c>
      <c r="J50">
        <f>((Q50/12) + J49)</f>
        <v>208459.32187500017</v>
      </c>
      <c r="K50" s="1">
        <v>51051.262499999997</v>
      </c>
      <c r="L50">
        <v>40000</v>
      </c>
      <c r="M50">
        <v>42000</v>
      </c>
      <c r="N50">
        <v>44100</v>
      </c>
      <c r="O50">
        <v>46305</v>
      </c>
      <c r="P50">
        <v>48620.25</v>
      </c>
      <c r="Q50" s="1">
        <v>51051.262499999997</v>
      </c>
      <c r="R50">
        <v>49</v>
      </c>
      <c r="S50">
        <f>2021 + INT((R50 - 1)/12)</f>
        <v>2025</v>
      </c>
    </row>
    <row r="51" spans="2:19" x14ac:dyDescent="0.25">
      <c r="B51">
        <f>R51</f>
        <v>50</v>
      </c>
      <c r="C51">
        <f>D51*0.746</f>
        <v>140770.54347083336</v>
      </c>
      <c r="D51">
        <f>((K51/12) + D50)</f>
        <v>188700.4604166667</v>
      </c>
      <c r="E51">
        <f>((L51/12) + E50)</f>
        <v>166666.66666666669</v>
      </c>
      <c r="F51">
        <f>((M51/12) + F50)</f>
        <v>175000</v>
      </c>
      <c r="G51">
        <f>((N51/12) + G50)</f>
        <v>183750</v>
      </c>
      <c r="H51">
        <f>((O51/12) + H50)</f>
        <v>192937.5</v>
      </c>
      <c r="I51">
        <f>((P51/12) + I50)</f>
        <v>202584.375</v>
      </c>
      <c r="J51">
        <f>((Q51/12) + J50)</f>
        <v>212713.59375000017</v>
      </c>
      <c r="K51" s="1">
        <v>51051.262499999997</v>
      </c>
      <c r="L51">
        <v>40000</v>
      </c>
      <c r="M51">
        <v>42000</v>
      </c>
      <c r="N51">
        <v>44100</v>
      </c>
      <c r="O51">
        <v>46305</v>
      </c>
      <c r="P51">
        <v>48620.25</v>
      </c>
      <c r="Q51" s="1">
        <v>51051.262499999997</v>
      </c>
      <c r="R51">
        <v>50</v>
      </c>
      <c r="S51">
        <f>2021 + INT((R51 - 1)/12)</f>
        <v>2025</v>
      </c>
    </row>
    <row r="52" spans="2:19" x14ac:dyDescent="0.25">
      <c r="B52">
        <f>R52</f>
        <v>51</v>
      </c>
      <c r="C52">
        <f>D52*0.746</f>
        <v>143944.23028958336</v>
      </c>
      <c r="D52">
        <f>((K52/12) + D51)</f>
        <v>192954.7322916667</v>
      </c>
      <c r="E52">
        <f>((L52/12) + E51)</f>
        <v>170000.00000000003</v>
      </c>
      <c r="F52">
        <f>((M52/12) + F51)</f>
        <v>178500</v>
      </c>
      <c r="G52">
        <f>((N52/12) + G51)</f>
        <v>187425</v>
      </c>
      <c r="H52">
        <f>((O52/12) + H51)</f>
        <v>196796.25</v>
      </c>
      <c r="I52">
        <f>((P52/12) + I51)</f>
        <v>206636.0625</v>
      </c>
      <c r="J52">
        <f>((Q52/12) + J51)</f>
        <v>216967.86562500018</v>
      </c>
      <c r="K52" s="1">
        <v>51051.262499999997</v>
      </c>
      <c r="L52">
        <v>40000</v>
      </c>
      <c r="M52">
        <v>42000</v>
      </c>
      <c r="N52">
        <v>44100</v>
      </c>
      <c r="O52">
        <v>46305</v>
      </c>
      <c r="P52">
        <v>48620.25</v>
      </c>
      <c r="Q52" s="1">
        <v>51051.262499999997</v>
      </c>
      <c r="R52">
        <v>51</v>
      </c>
      <c r="S52">
        <f>2021 + INT((R52 - 1)/12)</f>
        <v>2025</v>
      </c>
    </row>
    <row r="53" spans="2:19" x14ac:dyDescent="0.25">
      <c r="B53">
        <f>R53</f>
        <v>52</v>
      </c>
      <c r="C53">
        <f>D53*0.746</f>
        <v>147117.91710833338</v>
      </c>
      <c r="D53">
        <f>((K53/12) + D52)</f>
        <v>197209.00416666671</v>
      </c>
      <c r="E53">
        <f>((L53/12) + E52)</f>
        <v>173333.33333333337</v>
      </c>
      <c r="F53">
        <f>((M53/12) + F52)</f>
        <v>182000</v>
      </c>
      <c r="G53">
        <f>((N53/12) + G52)</f>
        <v>191100</v>
      </c>
      <c r="H53">
        <f>((O53/12) + H52)</f>
        <v>200655</v>
      </c>
      <c r="I53">
        <f>((P53/12) + I52)</f>
        <v>210687.75</v>
      </c>
      <c r="J53">
        <f>((Q53/12) + J52)</f>
        <v>221222.13750000019</v>
      </c>
      <c r="K53" s="1">
        <v>51051.262499999997</v>
      </c>
      <c r="L53">
        <v>40000</v>
      </c>
      <c r="M53">
        <v>42000</v>
      </c>
      <c r="N53">
        <v>44100</v>
      </c>
      <c r="O53">
        <v>46305</v>
      </c>
      <c r="P53">
        <v>48620.25</v>
      </c>
      <c r="Q53" s="1">
        <v>51051.262499999997</v>
      </c>
      <c r="R53">
        <v>52</v>
      </c>
      <c r="S53">
        <f>2021 + INT((R53 - 1)/12)</f>
        <v>2025</v>
      </c>
    </row>
    <row r="54" spans="2:19" x14ac:dyDescent="0.25">
      <c r="B54">
        <f>R54</f>
        <v>53</v>
      </c>
      <c r="C54">
        <f>D54*0.746</f>
        <v>150291.60392708337</v>
      </c>
      <c r="D54">
        <f>((K54/12) + D53)</f>
        <v>201463.27604166672</v>
      </c>
      <c r="E54">
        <f>((L54/12) + E53)</f>
        <v>176666.66666666672</v>
      </c>
      <c r="F54">
        <f>((M54/12) + F53)</f>
        <v>185500</v>
      </c>
      <c r="G54">
        <f>((N54/12) + G53)</f>
        <v>194775</v>
      </c>
      <c r="H54">
        <f>((O54/12) + H53)</f>
        <v>204513.75</v>
      </c>
      <c r="I54">
        <f>((P54/12) + I53)</f>
        <v>214739.4375</v>
      </c>
      <c r="J54">
        <f>((Q54/12) + J53)</f>
        <v>225476.40937500019</v>
      </c>
      <c r="K54" s="1">
        <v>51051.262499999997</v>
      </c>
      <c r="L54">
        <v>40000</v>
      </c>
      <c r="M54">
        <v>42000</v>
      </c>
      <c r="N54">
        <v>44100</v>
      </c>
      <c r="O54">
        <v>46305</v>
      </c>
      <c r="P54">
        <v>48620.25</v>
      </c>
      <c r="Q54" s="1">
        <v>51051.262499999997</v>
      </c>
      <c r="R54">
        <v>53</v>
      </c>
      <c r="S54">
        <f>2021 + INT((R54 - 1)/12)</f>
        <v>2025</v>
      </c>
    </row>
    <row r="55" spans="2:19" x14ac:dyDescent="0.25">
      <c r="B55">
        <f>R55</f>
        <v>54</v>
      </c>
      <c r="C55">
        <f>D55*0.746</f>
        <v>153465.29074583336</v>
      </c>
      <c r="D55">
        <f>((K55/12) + D54)</f>
        <v>205717.54791666672</v>
      </c>
      <c r="E55">
        <f>((L55/12) + E54)</f>
        <v>180000.00000000006</v>
      </c>
      <c r="F55">
        <f>((M55/12) + F54)</f>
        <v>189000</v>
      </c>
      <c r="G55">
        <f>((N55/12) + G54)</f>
        <v>198450</v>
      </c>
      <c r="H55">
        <f>((O55/12) + H54)</f>
        <v>208372.5</v>
      </c>
      <c r="I55">
        <f>((P55/12) + I54)</f>
        <v>218791.125</v>
      </c>
      <c r="J55">
        <f>((Q55/12) + J54)</f>
        <v>229730.6812500002</v>
      </c>
      <c r="K55" s="1">
        <v>51051.262499999997</v>
      </c>
      <c r="L55">
        <v>40000</v>
      </c>
      <c r="M55">
        <v>42000</v>
      </c>
      <c r="N55">
        <v>44100</v>
      </c>
      <c r="O55">
        <v>46305</v>
      </c>
      <c r="P55">
        <v>48620.25</v>
      </c>
      <c r="Q55" s="1">
        <v>51051.262499999997</v>
      </c>
      <c r="R55">
        <v>54</v>
      </c>
      <c r="S55">
        <f>2021 + INT((R55 - 1)/12)</f>
        <v>2025</v>
      </c>
    </row>
    <row r="56" spans="2:19" x14ac:dyDescent="0.25">
      <c r="B56">
        <f>R56</f>
        <v>55</v>
      </c>
      <c r="C56">
        <f>D56*0.746</f>
        <v>156638.97756458339</v>
      </c>
      <c r="D56">
        <f>((K56/12) + D55)</f>
        <v>209971.81979166673</v>
      </c>
      <c r="E56">
        <f>((L56/12) + E55)</f>
        <v>183333.3333333334</v>
      </c>
      <c r="F56">
        <f>((M56/12) + F55)</f>
        <v>192500</v>
      </c>
      <c r="G56">
        <f>((N56/12) + G55)</f>
        <v>202125</v>
      </c>
      <c r="H56">
        <f>((O56/12) + H55)</f>
        <v>212231.25</v>
      </c>
      <c r="I56">
        <f>((P56/12) + I55)</f>
        <v>222842.8125</v>
      </c>
      <c r="J56">
        <f>((Q56/12) + J55)</f>
        <v>233984.9531250002</v>
      </c>
      <c r="K56" s="1">
        <v>51051.262499999997</v>
      </c>
      <c r="L56">
        <v>40000</v>
      </c>
      <c r="M56">
        <v>42000</v>
      </c>
      <c r="N56">
        <v>44100</v>
      </c>
      <c r="O56">
        <v>46305</v>
      </c>
      <c r="P56">
        <v>48620.25</v>
      </c>
      <c r="Q56" s="1">
        <v>51051.262499999997</v>
      </c>
      <c r="R56">
        <v>55</v>
      </c>
      <c r="S56">
        <f>2021 + INT((R56 - 1)/12)</f>
        <v>2025</v>
      </c>
    </row>
    <row r="57" spans="2:19" x14ac:dyDescent="0.25">
      <c r="B57">
        <f>R57</f>
        <v>56</v>
      </c>
      <c r="C57">
        <f>D57*0.746</f>
        <v>159812.66438333338</v>
      </c>
      <c r="D57">
        <f>((K57/12) + D56)</f>
        <v>214226.09166666673</v>
      </c>
      <c r="E57">
        <f>((L57/12) + E56)</f>
        <v>186666.66666666674</v>
      </c>
      <c r="F57">
        <f>((M57/12) + F56)</f>
        <v>196000</v>
      </c>
      <c r="G57">
        <f>((N57/12) + G56)</f>
        <v>205800</v>
      </c>
      <c r="H57">
        <f>((O57/12) + H56)</f>
        <v>216090</v>
      </c>
      <c r="I57">
        <f>((P57/12) + I56)</f>
        <v>226894.5</v>
      </c>
      <c r="J57">
        <f>((Q57/12) + J56)</f>
        <v>238239.22500000021</v>
      </c>
      <c r="K57" s="1">
        <v>51051.262499999997</v>
      </c>
      <c r="L57">
        <v>40000</v>
      </c>
      <c r="M57">
        <v>42000</v>
      </c>
      <c r="N57">
        <v>44100</v>
      </c>
      <c r="O57">
        <v>46305</v>
      </c>
      <c r="P57">
        <v>48620.25</v>
      </c>
      <c r="Q57" s="1">
        <v>51051.262499999997</v>
      </c>
      <c r="R57">
        <v>56</v>
      </c>
      <c r="S57">
        <f>2021 + INT((R57 - 1)/12)</f>
        <v>2025</v>
      </c>
    </row>
    <row r="58" spans="2:19" x14ac:dyDescent="0.25">
      <c r="B58">
        <f>R58</f>
        <v>57</v>
      </c>
      <c r="C58">
        <f>D58*0.746</f>
        <v>162986.35120208337</v>
      </c>
      <c r="D58">
        <f>((K58/12) + D57)</f>
        <v>218480.36354166674</v>
      </c>
      <c r="E58">
        <f>((L58/12) + E57)</f>
        <v>190000.00000000009</v>
      </c>
      <c r="F58">
        <f>((M58/12) + F57)</f>
        <v>199500</v>
      </c>
      <c r="G58">
        <f>((N58/12) + G57)</f>
        <v>209475</v>
      </c>
      <c r="H58">
        <f>((O58/12) + H57)</f>
        <v>219948.75</v>
      </c>
      <c r="I58">
        <f>((P58/12) + I57)</f>
        <v>230946.1875</v>
      </c>
      <c r="J58">
        <f>((Q58/12) + J57)</f>
        <v>242493.49687500022</v>
      </c>
      <c r="K58" s="1">
        <v>51051.262499999997</v>
      </c>
      <c r="L58">
        <v>40000</v>
      </c>
      <c r="M58">
        <v>42000</v>
      </c>
      <c r="N58">
        <v>44100</v>
      </c>
      <c r="O58">
        <v>46305</v>
      </c>
      <c r="P58">
        <v>48620.25</v>
      </c>
      <c r="Q58" s="1">
        <v>51051.262499999997</v>
      </c>
      <c r="R58">
        <v>57</v>
      </c>
      <c r="S58">
        <f>2021 + INT((R58 - 1)/12)</f>
        <v>2025</v>
      </c>
    </row>
    <row r="59" spans="2:19" x14ac:dyDescent="0.25">
      <c r="B59">
        <f>R59</f>
        <v>58</v>
      </c>
      <c r="C59">
        <f>D59*0.746</f>
        <v>166160.0380208334</v>
      </c>
      <c r="D59">
        <f>((K59/12) + D58)</f>
        <v>222734.63541666674</v>
      </c>
      <c r="E59">
        <f>((L59/12) + E58)</f>
        <v>193333.33333333343</v>
      </c>
      <c r="F59">
        <f>((M59/12) + F58)</f>
        <v>203000</v>
      </c>
      <c r="G59">
        <f>((N59/12) + G58)</f>
        <v>213150</v>
      </c>
      <c r="H59">
        <f>((O59/12) + H58)</f>
        <v>223807.5</v>
      </c>
      <c r="I59">
        <f>((P59/12) + I58)</f>
        <v>234997.875</v>
      </c>
      <c r="J59">
        <f>((Q59/12) + J58)</f>
        <v>246747.76875000022</v>
      </c>
      <c r="K59" s="1">
        <v>51051.262499999997</v>
      </c>
      <c r="L59">
        <v>40000</v>
      </c>
      <c r="M59">
        <v>42000</v>
      </c>
      <c r="N59">
        <v>44100</v>
      </c>
      <c r="O59">
        <v>46305</v>
      </c>
      <c r="P59">
        <v>48620.25</v>
      </c>
      <c r="Q59" s="1">
        <v>51051.262499999997</v>
      </c>
      <c r="R59">
        <v>58</v>
      </c>
      <c r="S59">
        <f>2021 + INT((R59 - 1)/12)</f>
        <v>2025</v>
      </c>
    </row>
    <row r="60" spans="2:19" x14ac:dyDescent="0.25">
      <c r="B60">
        <f>R60</f>
        <v>59</v>
      </c>
      <c r="C60">
        <f>D60*0.746</f>
        <v>169333.72483958339</v>
      </c>
      <c r="D60">
        <f>((K60/12) + D59)</f>
        <v>226988.90729166675</v>
      </c>
      <c r="E60">
        <f>((L60/12) + E59)</f>
        <v>196666.66666666677</v>
      </c>
      <c r="F60">
        <f>((M60/12) + F59)</f>
        <v>206500</v>
      </c>
      <c r="G60">
        <f>((N60/12) + G59)</f>
        <v>216825</v>
      </c>
      <c r="H60">
        <f>((O60/12) + H59)</f>
        <v>227666.25</v>
      </c>
      <c r="I60">
        <f>((P60/12) + I59)</f>
        <v>239049.5625</v>
      </c>
      <c r="J60">
        <f>((Q60/12) + J59)</f>
        <v>251002.04062500023</v>
      </c>
      <c r="K60" s="1">
        <v>51051.262499999997</v>
      </c>
      <c r="L60">
        <v>40000</v>
      </c>
      <c r="M60">
        <v>42000</v>
      </c>
      <c r="N60">
        <v>44100</v>
      </c>
      <c r="O60">
        <v>46305</v>
      </c>
      <c r="P60">
        <v>48620.25</v>
      </c>
      <c r="Q60" s="1">
        <v>51051.262499999997</v>
      </c>
      <c r="R60">
        <v>59</v>
      </c>
      <c r="S60">
        <f>2021 + INT((R60 - 1)/12)</f>
        <v>2025</v>
      </c>
    </row>
    <row r="61" spans="2:19" x14ac:dyDescent="0.25">
      <c r="B61">
        <f>R61</f>
        <v>60</v>
      </c>
      <c r="C61">
        <f>D61*0.746</f>
        <v>172507.41165833341</v>
      </c>
      <c r="D61">
        <f>((K61/12) + D60)</f>
        <v>231243.17916666676</v>
      </c>
      <c r="E61">
        <f>((L61/12) + E60)</f>
        <v>200000.00000000012</v>
      </c>
      <c r="F61">
        <f>((M61/12) + F60)</f>
        <v>210000</v>
      </c>
      <c r="G61">
        <f>((N61/12) + G60)</f>
        <v>220500</v>
      </c>
      <c r="H61">
        <f>((O61/12) + H60)</f>
        <v>231525</v>
      </c>
      <c r="I61">
        <f>((P61/12) + I60)</f>
        <v>243101.25</v>
      </c>
      <c r="J61">
        <f>((Q61/12) + J60)</f>
        <v>255256.31250000023</v>
      </c>
      <c r="K61" s="1">
        <v>51051.262499999997</v>
      </c>
      <c r="L61">
        <v>40000</v>
      </c>
      <c r="M61">
        <v>42000</v>
      </c>
      <c r="N61">
        <v>44100</v>
      </c>
      <c r="O61">
        <v>46305</v>
      </c>
      <c r="P61">
        <v>48620.25</v>
      </c>
      <c r="Q61" s="1">
        <v>51051.262499999997</v>
      </c>
      <c r="R61">
        <v>60</v>
      </c>
      <c r="S61">
        <f>2021 + INT((R61 - 1)/12)</f>
        <v>2025</v>
      </c>
    </row>
    <row r="62" spans="2:19" x14ac:dyDescent="0.25">
      <c r="K62" s="1"/>
      <c r="N62" s="1"/>
      <c r="P62" s="1"/>
      <c r="Q6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2023-01-26T20:39:47Z</dcterms:created>
  <dcterms:modified xsi:type="dcterms:W3CDTF">2023-01-28T03:49:55Z</dcterms:modified>
</cp:coreProperties>
</file>