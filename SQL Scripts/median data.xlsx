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45" windowWidth="21075" windowHeight="8265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I33" i="1"/>
  <c r="H32"/>
  <c r="H33"/>
  <c r="P29"/>
  <c r="O29"/>
  <c r="O28"/>
  <c r="N29"/>
  <c r="N28"/>
  <c r="N27"/>
  <c r="M29"/>
  <c r="M28"/>
  <c r="M27"/>
  <c r="M26"/>
  <c r="L29"/>
  <c r="L28"/>
  <c r="L27"/>
  <c r="L26"/>
  <c r="L25"/>
  <c r="K24"/>
  <c r="J24"/>
  <c r="K29"/>
  <c r="K28"/>
  <c r="K27"/>
  <c r="K26"/>
  <c r="K25"/>
  <c r="J29"/>
  <c r="J28"/>
  <c r="J27"/>
  <c r="J26"/>
  <c r="J25"/>
  <c r="J23"/>
  <c r="I29"/>
  <c r="I28"/>
  <c r="I27"/>
  <c r="I26"/>
  <c r="I25"/>
  <c r="I24"/>
  <c r="I23"/>
  <c r="I22"/>
  <c r="I17"/>
  <c r="H29"/>
  <c r="H28"/>
  <c r="H27"/>
  <c r="H26"/>
  <c r="H25"/>
  <c r="H24"/>
  <c r="H23"/>
  <c r="H22"/>
  <c r="H21"/>
  <c r="K18"/>
  <c r="J18"/>
  <c r="J17"/>
  <c r="I18"/>
  <c r="I16"/>
  <c r="H18"/>
  <c r="H17"/>
  <c r="H16"/>
  <c r="H15"/>
  <c r="H11"/>
  <c r="G12"/>
  <c r="H12"/>
  <c r="I12"/>
  <c r="G11"/>
  <c r="I11"/>
</calcChain>
</file>

<file path=xl/sharedStrings.xml><?xml version="1.0" encoding="utf-8"?>
<sst xmlns="http://schemas.openxmlformats.org/spreadsheetml/2006/main" count="5" uniqueCount="5">
  <si>
    <t>ID</t>
  </si>
  <si>
    <t>Val</t>
  </si>
  <si>
    <t>Date</t>
  </si>
  <si>
    <t>Median</t>
  </si>
  <si>
    <t>mode</t>
  </si>
</sst>
</file>

<file path=xl/styles.xml><?xml version="1.0" encoding="utf-8"?>
<styleSheet xmlns="http://schemas.openxmlformats.org/spreadsheetml/2006/main">
  <numFmts count="1">
    <numFmt numFmtId="164" formatCode="yyyy/mm/dd;@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33"/>
  <sheetViews>
    <sheetView tabSelected="1" topLeftCell="A13" workbookViewId="0">
      <selection activeCell="G17" sqref="G17"/>
    </sheetView>
  </sheetViews>
  <sheetFormatPr defaultRowHeight="15"/>
  <cols>
    <col min="3" max="3" width="10.42578125" style="1" bestFit="1" customWidth="1"/>
  </cols>
  <sheetData>
    <row r="1" spans="1:9">
      <c r="A1" t="s">
        <v>0</v>
      </c>
      <c r="B1" t="s">
        <v>1</v>
      </c>
      <c r="C1" s="1" t="s">
        <v>2</v>
      </c>
      <c r="G1">
        <v>4.12</v>
      </c>
      <c r="H1">
        <v>3.33</v>
      </c>
      <c r="I1">
        <v>4.12</v>
      </c>
    </row>
    <row r="2" spans="1:9">
      <c r="A2">
        <v>1</v>
      </c>
      <c r="B2">
        <v>4.12</v>
      </c>
      <c r="C2" s="1">
        <v>43553</v>
      </c>
      <c r="G2">
        <v>9.36</v>
      </c>
      <c r="H2">
        <v>1.27</v>
      </c>
      <c r="I2">
        <v>9.36</v>
      </c>
    </row>
    <row r="3" spans="1:9">
      <c r="A3">
        <v>2</v>
      </c>
      <c r="B3">
        <v>9.36</v>
      </c>
      <c r="C3" s="1">
        <v>43583</v>
      </c>
      <c r="G3">
        <v>4.17</v>
      </c>
      <c r="H3">
        <v>9.5399999999999991</v>
      </c>
      <c r="I3">
        <v>5.49</v>
      </c>
    </row>
    <row r="4" spans="1:9">
      <c r="A4">
        <v>3</v>
      </c>
      <c r="B4">
        <v>4.17</v>
      </c>
      <c r="C4" s="1">
        <v>43613</v>
      </c>
      <c r="G4">
        <v>5.76</v>
      </c>
      <c r="H4">
        <v>6.88</v>
      </c>
    </row>
    <row r="5" spans="1:9">
      <c r="A5">
        <v>4</v>
      </c>
      <c r="B5">
        <v>5.76</v>
      </c>
      <c r="C5" s="1">
        <v>43644</v>
      </c>
      <c r="G5">
        <v>5.49</v>
      </c>
      <c r="H5">
        <v>4.17</v>
      </c>
    </row>
    <row r="6" spans="1:9">
      <c r="A6">
        <v>5</v>
      </c>
      <c r="B6">
        <v>5.49</v>
      </c>
      <c r="C6" s="1">
        <v>43651</v>
      </c>
      <c r="H6">
        <v>5.76</v>
      </c>
    </row>
    <row r="7" spans="1:9">
      <c r="A7">
        <v>6</v>
      </c>
      <c r="B7">
        <v>3.33</v>
      </c>
      <c r="C7" s="1">
        <v>44080</v>
      </c>
      <c r="H7">
        <v>3.33</v>
      </c>
    </row>
    <row r="8" spans="1:9">
      <c r="A8">
        <v>7</v>
      </c>
      <c r="B8">
        <v>1.27</v>
      </c>
      <c r="C8" s="1">
        <v>44083</v>
      </c>
      <c r="H8">
        <v>1.27</v>
      </c>
    </row>
    <row r="9" spans="1:9">
      <c r="A9">
        <v>8</v>
      </c>
      <c r="B9">
        <v>9.5399999999999991</v>
      </c>
      <c r="C9" s="1">
        <v>44084</v>
      </c>
      <c r="H9">
        <v>9.5399999999999991</v>
      </c>
    </row>
    <row r="10" spans="1:9">
      <c r="A10">
        <v>9</v>
      </c>
      <c r="B10">
        <v>6.88</v>
      </c>
      <c r="C10" s="1">
        <v>44085</v>
      </c>
      <c r="H10">
        <v>6.88</v>
      </c>
    </row>
    <row r="11" spans="1:9">
      <c r="A11">
        <v>10</v>
      </c>
      <c r="B11">
        <v>4.12</v>
      </c>
      <c r="C11" s="1">
        <v>44529</v>
      </c>
      <c r="F11" t="s">
        <v>3</v>
      </c>
      <c r="G11" s="2">
        <f>MEDIAN(G1:G10)</f>
        <v>5.49</v>
      </c>
      <c r="H11" s="2">
        <f>MEDIAN(H1:H10)</f>
        <v>4.9649999999999999</v>
      </c>
      <c r="I11" s="2">
        <f>MEDIAN(I1:I10)</f>
        <v>5.49</v>
      </c>
    </row>
    <row r="12" spans="1:9">
      <c r="A12">
        <v>11</v>
      </c>
      <c r="B12">
        <v>9.36</v>
      </c>
      <c r="C12" s="1">
        <v>44528</v>
      </c>
      <c r="F12" t="s">
        <v>4</v>
      </c>
      <c r="G12">
        <f>AVERAGE(G1:G10)</f>
        <v>5.7799999999999994</v>
      </c>
      <c r="H12">
        <f>AVERAGE(H1:H10)</f>
        <v>5.1970000000000001</v>
      </c>
      <c r="I12">
        <f>AVERAGE(I1:I10)</f>
        <v>6.3233333333333333</v>
      </c>
    </row>
    <row r="13" spans="1:9">
      <c r="A13">
        <v>12</v>
      </c>
      <c r="B13">
        <v>4.17</v>
      </c>
      <c r="C13" s="1">
        <v>44163</v>
      </c>
    </row>
    <row r="14" spans="1:9">
      <c r="A14">
        <v>13</v>
      </c>
      <c r="B14">
        <v>5.76</v>
      </c>
      <c r="C14" s="1">
        <v>44132</v>
      </c>
      <c r="G14">
        <v>4.12</v>
      </c>
    </row>
    <row r="15" spans="1:9">
      <c r="A15">
        <v>14</v>
      </c>
      <c r="B15">
        <v>5.49</v>
      </c>
      <c r="C15" s="1">
        <v>44505</v>
      </c>
      <c r="G15">
        <v>4.17</v>
      </c>
      <c r="H15">
        <f>((G15-G14)/2)+G14</f>
        <v>4.1449999999999996</v>
      </c>
    </row>
    <row r="16" spans="1:9">
      <c r="A16">
        <v>15</v>
      </c>
      <c r="B16">
        <v>3.33</v>
      </c>
      <c r="C16" s="1">
        <v>44151</v>
      </c>
      <c r="G16" s="2">
        <v>5.49</v>
      </c>
      <c r="H16">
        <f>((G16-G15)/2)+G15</f>
        <v>4.83</v>
      </c>
      <c r="I16">
        <f>((G16-G14) / 2) + G14</f>
        <v>4.8049999999999997</v>
      </c>
    </row>
    <row r="17" spans="1:16">
      <c r="A17">
        <v>16</v>
      </c>
      <c r="B17">
        <v>1.27</v>
      </c>
      <c r="C17" s="1">
        <v>44152</v>
      </c>
      <c r="G17">
        <v>5.76</v>
      </c>
      <c r="H17">
        <f>((G17-G16)/2)+G16</f>
        <v>5.625</v>
      </c>
      <c r="I17">
        <f>((G17-G15) / 2) + G15</f>
        <v>4.9649999999999999</v>
      </c>
      <c r="J17">
        <f>((G17-G14)/2)+G14</f>
        <v>4.9399999999999995</v>
      </c>
    </row>
    <row r="18" spans="1:16">
      <c r="A18">
        <v>17</v>
      </c>
      <c r="B18">
        <v>9.5399999999999991</v>
      </c>
      <c r="C18" s="1">
        <v>44153</v>
      </c>
      <c r="G18">
        <v>9.36</v>
      </c>
      <c r="H18">
        <f>((G18-G17)/2)+G17</f>
        <v>7.56</v>
      </c>
      <c r="I18">
        <f>((G18-G16) / 2) + G16</f>
        <v>7.4249999999999998</v>
      </c>
      <c r="J18">
        <f>((G18-G15)/2)+G15</f>
        <v>6.7649999999999997</v>
      </c>
      <c r="K18">
        <f>((G18-G14)/2)+G14</f>
        <v>6.74</v>
      </c>
    </row>
    <row r="19" spans="1:16">
      <c r="A19">
        <v>18</v>
      </c>
      <c r="B19">
        <v>6.88</v>
      </c>
      <c r="C19" s="1">
        <v>44154</v>
      </c>
    </row>
    <row r="20" spans="1:16">
      <c r="G20">
        <v>1.27</v>
      </c>
    </row>
    <row r="21" spans="1:16">
      <c r="G21">
        <v>1.27</v>
      </c>
      <c r="H21">
        <f>((G21-G20)/2)+G20</f>
        <v>1.27</v>
      </c>
    </row>
    <row r="22" spans="1:16">
      <c r="G22">
        <v>3.33</v>
      </c>
      <c r="H22">
        <f>((G22-G21)/2)+G21</f>
        <v>2.2999999999999998</v>
      </c>
      <c r="I22">
        <f>((G22-G20) / 2) + G20</f>
        <v>2.2999999999999998</v>
      </c>
    </row>
    <row r="23" spans="1:16">
      <c r="G23">
        <v>3.33</v>
      </c>
      <c r="H23">
        <f>((G23-G22)/2)+G22</f>
        <v>3.33</v>
      </c>
      <c r="I23">
        <f>((G23-G21) / 2) + G21</f>
        <v>2.2999999999999998</v>
      </c>
      <c r="J23">
        <f>((G23-G20)/2)+G20</f>
        <v>2.2999999999999998</v>
      </c>
    </row>
    <row r="24" spans="1:16">
      <c r="G24" s="2">
        <v>4.17</v>
      </c>
      <c r="H24">
        <f>((G24-G23)/2)+G23</f>
        <v>3.75</v>
      </c>
      <c r="I24">
        <f>((G24-G22) / 2) + G22</f>
        <v>3.75</v>
      </c>
      <c r="J24">
        <f>((G24-G21)/2)+G21</f>
        <v>2.7199999999999998</v>
      </c>
      <c r="K24">
        <f>((G24-G20)/2)+G20</f>
        <v>2.7199999999999998</v>
      </c>
    </row>
    <row r="25" spans="1:16">
      <c r="G25" s="2">
        <v>5.76</v>
      </c>
      <c r="H25">
        <f>((G25-G24)/2)+G24</f>
        <v>4.9649999999999999</v>
      </c>
      <c r="I25">
        <f>((G25-G23) / 2) + G23</f>
        <v>4.5449999999999999</v>
      </c>
      <c r="J25">
        <f>((G25-G22)/2)+G22</f>
        <v>4.5449999999999999</v>
      </c>
      <c r="K25">
        <f>((G25-G21)/2)+G21</f>
        <v>3.5150000000000001</v>
      </c>
      <c r="L25">
        <f>((G25-G20)/2)+G20</f>
        <v>3.5150000000000001</v>
      </c>
    </row>
    <row r="26" spans="1:16">
      <c r="G26">
        <v>6.88</v>
      </c>
      <c r="H26">
        <f>((G26-G25)/2)+G25</f>
        <v>6.32</v>
      </c>
      <c r="I26">
        <f>((G26-G24) / 2) + G24</f>
        <v>5.5250000000000004</v>
      </c>
      <c r="J26">
        <f>((G26-G23)/2)+G23</f>
        <v>5.1050000000000004</v>
      </c>
      <c r="K26">
        <f>((G26-G22)/2)+G22</f>
        <v>5.1050000000000004</v>
      </c>
      <c r="L26">
        <f>((G26-G21)/2)+G21</f>
        <v>4.0749999999999993</v>
      </c>
      <c r="M26">
        <f>((G26-G20)/2)+G20</f>
        <v>4.0749999999999993</v>
      </c>
    </row>
    <row r="27" spans="1:16">
      <c r="G27">
        <v>6.88</v>
      </c>
      <c r="H27">
        <f>((G27-G26)/2)+G26</f>
        <v>6.88</v>
      </c>
      <c r="I27">
        <f>((G27-G25) / 2) + G25</f>
        <v>6.32</v>
      </c>
      <c r="J27">
        <f>((G27-G24)/2)+G24</f>
        <v>5.5250000000000004</v>
      </c>
      <c r="K27">
        <f>((G27-G23)/2)+G23</f>
        <v>5.1050000000000004</v>
      </c>
      <c r="L27">
        <f>((G27-G22)/2)+G22</f>
        <v>5.1050000000000004</v>
      </c>
      <c r="M27">
        <f>((G27-G21)/2)+G21</f>
        <v>4.0749999999999993</v>
      </c>
      <c r="N27">
        <f>((G27-G20)/2)+G20</f>
        <v>4.0749999999999993</v>
      </c>
    </row>
    <row r="28" spans="1:16">
      <c r="G28">
        <v>9.5399999999999991</v>
      </c>
      <c r="H28">
        <f>((G28-G27)/2)+G27</f>
        <v>8.2099999999999991</v>
      </c>
      <c r="I28">
        <f>((G28-G26) / 2) + G26</f>
        <v>8.2099999999999991</v>
      </c>
      <c r="J28">
        <f>((G28-G25)/2)+G25</f>
        <v>7.6499999999999995</v>
      </c>
      <c r="K28">
        <f>((G28-G24)/2)+G24</f>
        <v>6.8549999999999995</v>
      </c>
      <c r="L28">
        <f>((G28-G23)/2)+G23</f>
        <v>6.4349999999999996</v>
      </c>
      <c r="M28">
        <f>((G28-G22)/2)+G22</f>
        <v>6.4349999999999996</v>
      </c>
      <c r="N28">
        <f>((G28-G21)/2)+G21</f>
        <v>5.4049999999999994</v>
      </c>
      <c r="O28">
        <f>((G28-G20)/2)+G20</f>
        <v>5.4049999999999994</v>
      </c>
    </row>
    <row r="29" spans="1:16">
      <c r="G29">
        <v>9.5399999999999991</v>
      </c>
      <c r="H29">
        <f>((G29-G28)/2)+G28</f>
        <v>9.5399999999999991</v>
      </c>
      <c r="I29">
        <f>((G29-G27) / 2) + G27</f>
        <v>8.2099999999999991</v>
      </c>
      <c r="J29">
        <f>((G29-G26)/2)+G26</f>
        <v>8.2099999999999991</v>
      </c>
      <c r="K29">
        <f>((G29-G25)/2)+G25</f>
        <v>7.6499999999999995</v>
      </c>
      <c r="L29">
        <f>((G29-G24)/2)+G24</f>
        <v>6.8549999999999995</v>
      </c>
      <c r="M29">
        <f>((G29-G23)/2)+G23</f>
        <v>6.4349999999999996</v>
      </c>
      <c r="N29">
        <f>((G29-G22)/2)+G22</f>
        <v>6.4349999999999996</v>
      </c>
      <c r="O29">
        <f>((G29-G21)/2)+G21</f>
        <v>5.4049999999999994</v>
      </c>
      <c r="P29">
        <f>((G29-G20)/2)+G20</f>
        <v>5.4049999999999994</v>
      </c>
    </row>
    <row r="31" spans="1:16">
      <c r="G31">
        <v>4.12</v>
      </c>
    </row>
    <row r="32" spans="1:16">
      <c r="G32" s="2">
        <v>5.49</v>
      </c>
      <c r="H32">
        <f>((G32-G31)/2)+G31</f>
        <v>4.8049999999999997</v>
      </c>
    </row>
    <row r="33" spans="7:9">
      <c r="G33">
        <v>9.36</v>
      </c>
      <c r="H33">
        <f>((G33-G32)/2)+G32</f>
        <v>7.4249999999999998</v>
      </c>
      <c r="I33">
        <f>((G33-G31) / 2) + G31</f>
        <v>6.74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2021-11-29T17:18:34Z</dcterms:created>
  <dcterms:modified xsi:type="dcterms:W3CDTF">2021-12-01T19:57:09Z</dcterms:modified>
</cp:coreProperties>
</file>